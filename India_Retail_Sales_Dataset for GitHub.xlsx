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932"/>
  <workbookPr defaultThemeVersion="124226"/>
  <mc:AlternateContent xmlns:mc="http://schemas.openxmlformats.org/markup-compatibility/2006">
    <mc:Choice Requires="x15">
      <x15ac:absPath xmlns:x15ac="http://schemas.microsoft.com/office/spreadsheetml/2010/11/ac" url="C:\Users\pksin\Downloads\"/>
    </mc:Choice>
  </mc:AlternateContent>
  <xr:revisionPtr revIDLastSave="0" documentId="13_ncr:1_{75BAF7D6-D4F3-46E5-9434-28199C6602EC}" xr6:coauthVersionLast="47" xr6:coauthVersionMax="47" xr10:uidLastSave="{00000000-0000-0000-0000-000000000000}"/>
  <bookViews>
    <workbookView xWindow="-108" yWindow="-108" windowWidth="23256" windowHeight="12456" activeTab="2" xr2:uid="{00000000-000D-0000-FFFF-FFFF00000000}"/>
  </bookViews>
  <sheets>
    <sheet name="Pivot" sheetId="2" r:id="rId1"/>
    <sheet name="Sales" sheetId="1" r:id="rId2"/>
    <sheet name="Sales Performance Dashboard" sheetId="3" r:id="rId3"/>
  </sheets>
  <definedNames>
    <definedName name="_xlnm._FilterDatabase" localSheetId="1" hidden="1">Sales!$A$1:$J$501</definedName>
    <definedName name="Slicer_Category">#N/A</definedName>
    <definedName name="Slicer_City">#N/A</definedName>
    <definedName name="Slicer_Months__Date">#N/A</definedName>
    <definedName name="Slicer_Region">#N/A</definedName>
    <definedName name="Slicer_Salesperson">#N/A</definedName>
  </definedNames>
  <calcPr calcId="191029"/>
  <pivotCaches>
    <pivotCache cacheId="65"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K2" i="1" l="1"/>
</calcChain>
</file>

<file path=xl/sharedStrings.xml><?xml version="1.0" encoding="utf-8"?>
<sst xmlns="http://schemas.openxmlformats.org/spreadsheetml/2006/main" count="3059" uniqueCount="109">
  <si>
    <t>Date</t>
  </si>
  <si>
    <t>Region</t>
  </si>
  <si>
    <t>State</t>
  </si>
  <si>
    <t>City</t>
  </si>
  <si>
    <t>Product</t>
  </si>
  <si>
    <t>Category</t>
  </si>
  <si>
    <t>Quantity</t>
  </si>
  <si>
    <t>Unit Price</t>
  </si>
  <si>
    <t>Total Sales</t>
  </si>
  <si>
    <t>Salesperson</t>
  </si>
  <si>
    <t>North</t>
  </si>
  <si>
    <t>East</t>
  </si>
  <si>
    <t>South</t>
  </si>
  <si>
    <t>West</t>
  </si>
  <si>
    <t>Uttar Pradesh</t>
  </si>
  <si>
    <t>Haryana</t>
  </si>
  <si>
    <t>West Bengal</t>
  </si>
  <si>
    <t>Bihar</t>
  </si>
  <si>
    <t>Tamil Nadu</t>
  </si>
  <si>
    <t>Gujarat</t>
  </si>
  <si>
    <t>Goa</t>
  </si>
  <si>
    <t>Karnataka</t>
  </si>
  <si>
    <t>Telangana</t>
  </si>
  <si>
    <t>Kerala</t>
  </si>
  <si>
    <t>Odisha</t>
  </si>
  <si>
    <t>Maharashtra</t>
  </si>
  <si>
    <t>Delhi</t>
  </si>
  <si>
    <t>Punjab</t>
  </si>
  <si>
    <t>Rajasthan</t>
  </si>
  <si>
    <t>Assam</t>
  </si>
  <si>
    <t>Noida</t>
  </si>
  <si>
    <t>Gurugram</t>
  </si>
  <si>
    <t>Kolkata</t>
  </si>
  <si>
    <t>Patna</t>
  </si>
  <si>
    <t>Coimbatore</t>
  </si>
  <si>
    <t>Surat</t>
  </si>
  <si>
    <t>Panaji</t>
  </si>
  <si>
    <t>Bengaluru</t>
  </si>
  <si>
    <t>Mysuru</t>
  </si>
  <si>
    <t>Faridabad</t>
  </si>
  <si>
    <t>Hyderabad</t>
  </si>
  <si>
    <t>Ahmedabad</t>
  </si>
  <si>
    <t>Kochi</t>
  </si>
  <si>
    <t>Chennai</t>
  </si>
  <si>
    <t>Bhubaneswar</t>
  </si>
  <si>
    <t>Mumbai</t>
  </si>
  <si>
    <t>Pune</t>
  </si>
  <si>
    <t>Ludhiana</t>
  </si>
  <si>
    <t>Udaipur</t>
  </si>
  <si>
    <t>Amritsar</t>
  </si>
  <si>
    <t>Guwahati</t>
  </si>
  <si>
    <t>Jaipur</t>
  </si>
  <si>
    <t>Lucknow</t>
  </si>
  <si>
    <t>Thiruvananthapuram</t>
  </si>
  <si>
    <t>Fridge</t>
  </si>
  <si>
    <t>Shoes</t>
  </si>
  <si>
    <t>Sandals</t>
  </si>
  <si>
    <t>TV</t>
  </si>
  <si>
    <t>Dress</t>
  </si>
  <si>
    <t>Laptop</t>
  </si>
  <si>
    <t>Mobile</t>
  </si>
  <si>
    <t>Microwave</t>
  </si>
  <si>
    <t>Headphones</t>
  </si>
  <si>
    <t>Shirt</t>
  </si>
  <si>
    <t>Mixer</t>
  </si>
  <si>
    <t>Jacket</t>
  </si>
  <si>
    <t>Sneakers</t>
  </si>
  <si>
    <t>Jeans</t>
  </si>
  <si>
    <t>Washing Machine</t>
  </si>
  <si>
    <t>Home Appliances</t>
  </si>
  <si>
    <t>Footwear</t>
  </si>
  <si>
    <t>Electronics</t>
  </si>
  <si>
    <t>Apparel</t>
  </si>
  <si>
    <t>Riya</t>
  </si>
  <si>
    <t>Rahul</t>
  </si>
  <si>
    <t>Anita</t>
  </si>
  <si>
    <t>Vikram</t>
  </si>
  <si>
    <t>Sneha</t>
  </si>
  <si>
    <t>Amit</t>
  </si>
  <si>
    <t>Karan</t>
  </si>
  <si>
    <t>Priya</t>
  </si>
  <si>
    <t>Grand Total</t>
  </si>
  <si>
    <t>Sales</t>
  </si>
  <si>
    <t>Production</t>
  </si>
  <si>
    <t>SalesAmount</t>
  </si>
  <si>
    <t>Jan</t>
  </si>
  <si>
    <t>Feb</t>
  </si>
  <si>
    <t>Mar</t>
  </si>
  <si>
    <t>Apr</t>
  </si>
  <si>
    <t>May</t>
  </si>
  <si>
    <t>Jun</t>
  </si>
  <si>
    <t>Jul</t>
  </si>
  <si>
    <t>Aug</t>
  </si>
  <si>
    <t>Sep</t>
  </si>
  <si>
    <t>Oct</t>
  </si>
  <si>
    <t>Nov</t>
  </si>
  <si>
    <t>Dec</t>
  </si>
  <si>
    <t>Month</t>
  </si>
  <si>
    <t>SalesAmt</t>
  </si>
  <si>
    <t>Salesman</t>
  </si>
  <si>
    <t>Amount</t>
  </si>
  <si>
    <t>AllSalesAmt</t>
  </si>
  <si>
    <t>Sum of AllSalesAmt</t>
  </si>
  <si>
    <t>Sales Performance Dashboard – India Retail</t>
  </si>
  <si>
    <t>South region contributed 26.06% of total sales, highest among all.</t>
  </si>
  <si>
    <r>
      <t>Sandals</t>
    </r>
    <r>
      <rPr>
        <b/>
        <sz val="11"/>
        <color theme="1"/>
        <rFont val="Calibri"/>
        <family val="2"/>
        <scheme val="minor"/>
      </rPr>
      <t xml:space="preserve"> category dominated with INR 7134930 revenue</t>
    </r>
  </si>
  <si>
    <t>Karan and Riya were consistent top performers.</t>
  </si>
  <si>
    <t>Sales dipped in April, suggesting post-festival slowdown.</t>
  </si>
  <si>
    <t>Recommendation: Increase promotions in East region to balance revenue share.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</si>
</sst>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46"/>
      <color theme="1"/>
      <name val="Calibri"/>
      <family val="2"/>
      <scheme val="minor"/>
    </font>
    <font>
      <b/>
      <sz val="12"/>
      <color theme="1"/>
      <name val="Calibri"/>
      <family val="2"/>
      <scheme val="minor"/>
    </font>
  </fonts>
  <fills count="3">
    <fill>
      <patternFill patternType="none"/>
    </fill>
    <fill>
      <patternFill patternType="gray125"/>
    </fill>
    <fill>
      <patternFill patternType="solid">
        <fgColor rgb="FFFFFF00"/>
        <bgColor indexed="64"/>
      </patternFill>
    </fill>
  </fills>
  <borders count="20">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right/>
      <top style="thin">
        <color auto="1"/>
      </top>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
      <left style="thin">
        <color auto="1"/>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s>
  <cellStyleXfs count="1">
    <xf numFmtId="0" fontId="0" fillId="0" borderId="0"/>
  </cellStyleXfs>
  <cellXfs count="31">
    <xf numFmtId="0" fontId="0" fillId="0" borderId="0" xfId="0"/>
    <xf numFmtId="14" fontId="0" fillId="0" borderId="0" xfId="0" applyNumberFormat="1"/>
    <xf numFmtId="1" fontId="0" fillId="0" borderId="0" xfId="0" applyNumberFormat="1"/>
    <xf numFmtId="14" fontId="1" fillId="0" borderId="2" xfId="0" applyNumberFormat="1" applyFont="1" applyBorder="1" applyAlignment="1">
      <alignment horizontal="center" vertical="top"/>
    </xf>
    <xf numFmtId="0" fontId="1" fillId="0" borderId="2" xfId="0" applyFont="1" applyBorder="1" applyAlignment="1">
      <alignment horizontal="center" vertical="top"/>
    </xf>
    <xf numFmtId="1" fontId="1" fillId="0" borderId="2" xfId="0" applyNumberFormat="1" applyFont="1" applyBorder="1" applyAlignment="1">
      <alignment horizontal="center" vertical="top"/>
    </xf>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10" fontId="0" fillId="0" borderId="1" xfId="0" applyNumberFormat="1" applyBorder="1"/>
    <xf numFmtId="0" fontId="3" fillId="0" borderId="0" xfId="0" applyFont="1"/>
    <xf numFmtId="0" fontId="2" fillId="2" borderId="13"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14" xfId="0" applyFont="1" applyFill="1" applyBorder="1" applyAlignment="1">
      <alignment horizontal="center" vertical="center"/>
    </xf>
    <xf numFmtId="0" fontId="2" fillId="2" borderId="15" xfId="0" applyFont="1" applyFill="1" applyBorder="1" applyAlignment="1">
      <alignment horizontal="center" vertical="center"/>
    </xf>
    <xf numFmtId="0" fontId="2" fillId="2" borderId="0" xfId="0" applyFont="1" applyFill="1" applyBorder="1" applyAlignment="1">
      <alignment horizontal="center" vertical="center"/>
    </xf>
    <xf numFmtId="0" fontId="2" fillId="2" borderId="16" xfId="0" applyFont="1" applyFill="1" applyBorder="1" applyAlignment="1">
      <alignment horizontal="center" vertical="center"/>
    </xf>
    <xf numFmtId="0" fontId="2" fillId="2" borderId="17" xfId="0" applyFont="1" applyFill="1" applyBorder="1" applyAlignment="1">
      <alignment horizontal="center" vertical="center"/>
    </xf>
    <xf numFmtId="0" fontId="2" fillId="2" borderId="18" xfId="0" applyFont="1" applyFill="1" applyBorder="1" applyAlignment="1">
      <alignment horizontal="center" vertical="center"/>
    </xf>
    <xf numFmtId="0" fontId="2" fillId="2" borderId="19" xfId="0" applyFont="1" applyFill="1" applyBorder="1" applyAlignment="1">
      <alignment horizontal="center" vertical="center"/>
    </xf>
  </cellXfs>
  <cellStyles count="1">
    <cellStyle name="Normal" xfId="0" builtinId="0"/>
  </cellStyles>
  <dxfs count="1140">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4" formatCode="0.00%"/>
    </dxf>
    <dxf>
      <numFmt numFmtId="14" formatCode="0.00%"/>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i val="0"/>
        <strike val="0"/>
        <condense val="0"/>
        <extend val="0"/>
        <outline val="0"/>
        <shadow val="0"/>
        <u val="none"/>
        <vertAlign val="baseline"/>
        <sz val="11"/>
        <color theme="1"/>
        <name val="Calibri"/>
        <family val="2"/>
        <scheme val="minor"/>
      </font>
      <numFmt numFmtId="1" formatCode="0"/>
      <alignment horizontal="center" vertical="top" textRotation="0" wrapText="0" indent="0" justifyLastLine="0" shrinkToFit="0" readingOrder="0"/>
      <border diagonalUp="0" diagonalDown="0" outline="0">
        <left style="thin">
          <color auto="1"/>
        </left>
        <right style="thin">
          <color auto="1"/>
        </right>
        <top/>
        <bottom/>
      </border>
    </dxf>
    <dxf>
      <numFmt numFmtId="1" formatCode="0"/>
    </dxf>
    <dxf>
      <numFmt numFmtId="1" formatCode="0"/>
    </dxf>
    <dxf>
      <numFmt numFmtId="1" formatCode="0"/>
    </dxf>
    <dxf>
      <numFmt numFmtId="19" formatCode="m/d/yyyy"/>
    </dxf>
    <dxf>
      <border outline="0">
        <bottom style="thin">
          <color auto="1"/>
        </bottom>
      </border>
    </dxf>
    <dxf>
      <border outline="0">
        <top style="thin">
          <color auto="1"/>
        </top>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[India_Retail_Sales_Dataset for GitHub.xlsx]Pivot!PivotTable6</c:name>
    <c:fmtId val="0"/>
  </c:pivotSource>
  <c:chart>
    <c:title>
      <c:tx>
        <c:rich>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r>
              <a:rPr lang="en-IN" sz="1400" b="1" i="0" u="none" strike="noStrike" cap="none" baseline="0"/>
              <a:t>Top 5 performing products</a:t>
            </a:r>
            <a:endParaRPr lang="en-US"/>
          </a:p>
        </c:rich>
      </c:tx>
      <c:layout>
        <c:manualLayout>
          <c:xMode val="edge"/>
          <c:yMode val="edge"/>
          <c:x val="0.32178455818022744"/>
          <c:y val="3.2407407407407406E-2"/>
        </c:manualLayout>
      </c:layout>
      <c:overlay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txPr>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Pivot!$B$40</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Pivot!$A$41:$A$46</c:f>
              <c:strCache>
                <c:ptCount val="5"/>
                <c:pt idx="0">
                  <c:v>Sandals</c:v>
                </c:pt>
                <c:pt idx="1">
                  <c:v>Shoes</c:v>
                </c:pt>
                <c:pt idx="2">
                  <c:v>Jeans</c:v>
                </c:pt>
                <c:pt idx="3">
                  <c:v>Jacket</c:v>
                </c:pt>
                <c:pt idx="4">
                  <c:v>TV</c:v>
                </c:pt>
              </c:strCache>
            </c:strRef>
          </c:cat>
          <c:val>
            <c:numRef>
              <c:f>Pivot!$B$41:$B$46</c:f>
              <c:numCache>
                <c:formatCode>General</c:formatCode>
                <c:ptCount val="5"/>
                <c:pt idx="0">
                  <c:v>7134930</c:v>
                </c:pt>
                <c:pt idx="1">
                  <c:v>7083098</c:v>
                </c:pt>
                <c:pt idx="2">
                  <c:v>7076115</c:v>
                </c:pt>
                <c:pt idx="3">
                  <c:v>5900620</c:v>
                </c:pt>
                <c:pt idx="4">
                  <c:v>5446797</c:v>
                </c:pt>
              </c:numCache>
            </c:numRef>
          </c:val>
          <c:extLst>
            <c:ext xmlns:c16="http://schemas.microsoft.com/office/drawing/2014/chart" uri="{C3380CC4-5D6E-409C-BE32-E72D297353CC}">
              <c16:uniqueId val="{00000000-806E-45DF-9377-68DE8DC08700}"/>
            </c:ext>
          </c:extLst>
        </c:ser>
        <c:dLbls>
          <c:dLblPos val="outEnd"/>
          <c:showLegendKey val="0"/>
          <c:showVal val="1"/>
          <c:showCatName val="0"/>
          <c:showSerName val="0"/>
          <c:showPercent val="0"/>
          <c:showBubbleSize val="0"/>
        </c:dLbls>
        <c:gapWidth val="182"/>
        <c:overlap val="-50"/>
        <c:axId val="124730464"/>
        <c:axId val="124726144"/>
      </c:barChart>
      <c:catAx>
        <c:axId val="124730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24726144"/>
        <c:crosses val="autoZero"/>
        <c:auto val="1"/>
        <c:lblAlgn val="ctr"/>
        <c:lblOffset val="100"/>
        <c:noMultiLvlLbl val="0"/>
      </c:catAx>
      <c:valAx>
        <c:axId val="124726144"/>
        <c:scaling>
          <c:orientation val="minMax"/>
        </c:scaling>
        <c:delete val="1"/>
        <c:axPos val="b"/>
        <c:numFmt formatCode="General" sourceLinked="1"/>
        <c:majorTickMark val="none"/>
        <c:minorTickMark val="none"/>
        <c:tickLblPos val="nextTo"/>
        <c:crossAx val="124730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[India_Retail_Sales_Dataset for GitHub.xlsx]Pivot!PivotTable5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Highest Sales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Pivot!$A$24:$A$28</c:f>
              <c:strCache>
                <c:ptCount val="4"/>
                <c:pt idx="0">
                  <c:v>South</c:v>
                </c:pt>
                <c:pt idx="1">
                  <c:v>West</c:v>
                </c:pt>
                <c:pt idx="2">
                  <c:v>North</c:v>
                </c:pt>
                <c:pt idx="3">
                  <c:v>East</c:v>
                </c:pt>
              </c:strCache>
            </c:strRef>
          </c:cat>
          <c:val>
            <c:numRef>
              <c:f>Pivot!$B$24:$B$28</c:f>
              <c:numCache>
                <c:formatCode>0.00%</c:formatCode>
                <c:ptCount val="4"/>
                <c:pt idx="0">
                  <c:v>0.26061583148694017</c:v>
                </c:pt>
                <c:pt idx="1">
                  <c:v>0.25122211481616114</c:v>
                </c:pt>
                <c:pt idx="2">
                  <c:v>0.24501368419978761</c:v>
                </c:pt>
                <c:pt idx="3">
                  <c:v>0.24314836949711111</c:v>
                </c:pt>
              </c:numCache>
            </c:numRef>
          </c:val>
          <c:extLst>
            <c:ext xmlns:c16="http://schemas.microsoft.com/office/drawing/2014/chart" uri="{C3380CC4-5D6E-409C-BE32-E72D297353CC}">
              <c16:uniqueId val="{00000000-CB59-4D13-A217-FE7E67AC654F}"/>
            </c:ext>
          </c:extLst>
        </c:ser>
        <c:dLbls>
          <c:showLegendKey val="0"/>
          <c:showVal val="0"/>
          <c:showCatName val="0"/>
          <c:showSerName val="0"/>
          <c:showPercent val="0"/>
          <c:showBubbleSize val="0"/>
        </c:dLbls>
        <c:gapWidth val="150"/>
        <c:axId val="124717504"/>
        <c:axId val="124734304"/>
      </c:barChart>
      <c:catAx>
        <c:axId val="124717504"/>
        <c:scaling>
          <c:orientation val="minMax"/>
        </c:scaling>
        <c:delete val="0"/>
        <c:axPos val="b"/>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4734304"/>
        <c:crosses val="autoZero"/>
        <c:auto val="1"/>
        <c:lblAlgn val="ctr"/>
        <c:lblOffset val="100"/>
        <c:noMultiLvlLbl val="0"/>
      </c:catAx>
      <c:valAx>
        <c:axId val="124734304"/>
        <c:scaling>
          <c:orientation val="minMax"/>
        </c:scaling>
        <c:delete val="1"/>
        <c:axPos val="l"/>
        <c:numFmt formatCode="0.00%" sourceLinked="1"/>
        <c:majorTickMark val="none"/>
        <c:minorTickMark val="none"/>
        <c:tickLblPos val="nextTo"/>
        <c:crossAx val="1247175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[India_Retail_Sales_Dataset for GitHub.xlsx]Pivot!PivotTable8</c:name>
    <c:fmtId val="0"/>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Top 5</a:t>
            </a:r>
            <a:r>
              <a:rPr lang="en-US" baseline="0">
                <a:solidFill>
                  <a:schemeClr val="lt1"/>
                </a:solidFill>
                <a:latin typeface="+mn-lt"/>
                <a:ea typeface="+mn-ea"/>
                <a:cs typeface="+mn-cs"/>
              </a:rPr>
              <a:t> Salesman</a:t>
            </a:r>
            <a:endParaRPr lang="en-US"/>
          </a:p>
        </c:rich>
      </c:tx>
      <c:overlay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16708333333333336"/>
          <c:w val="0.93888888888888888"/>
          <c:h val="0.72088764946048411"/>
        </c:manualLayout>
      </c:layout>
      <c:barChart>
        <c:barDir val="col"/>
        <c:grouping val="clustered"/>
        <c:varyColors val="0"/>
        <c:ser>
          <c:idx val="0"/>
          <c:order val="0"/>
          <c:tx>
            <c:strRef>
              <c:f>Pivot!$C$91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Pivot!$B$92:$B$100</c:f>
              <c:strCache>
                <c:ptCount val="8"/>
                <c:pt idx="0">
                  <c:v>Vikram</c:v>
                </c:pt>
                <c:pt idx="1">
                  <c:v>Sneha</c:v>
                </c:pt>
                <c:pt idx="2">
                  <c:v>Amit</c:v>
                </c:pt>
                <c:pt idx="3">
                  <c:v>Anita</c:v>
                </c:pt>
                <c:pt idx="4">
                  <c:v>Priya</c:v>
                </c:pt>
                <c:pt idx="5">
                  <c:v>Rahul</c:v>
                </c:pt>
                <c:pt idx="6">
                  <c:v>Riya</c:v>
                </c:pt>
                <c:pt idx="7">
                  <c:v>Karan</c:v>
                </c:pt>
              </c:strCache>
            </c:strRef>
          </c:cat>
          <c:val>
            <c:numRef>
              <c:f>Pivot!$C$92:$C$100</c:f>
              <c:numCache>
                <c:formatCode>General</c:formatCode>
                <c:ptCount val="8"/>
                <c:pt idx="0">
                  <c:v>7752391</c:v>
                </c:pt>
                <c:pt idx="1">
                  <c:v>7769000</c:v>
                </c:pt>
                <c:pt idx="2">
                  <c:v>9308117</c:v>
                </c:pt>
                <c:pt idx="3">
                  <c:v>9520432</c:v>
                </c:pt>
                <c:pt idx="4">
                  <c:v>9780190</c:v>
                </c:pt>
                <c:pt idx="5">
                  <c:v>10191059</c:v>
                </c:pt>
                <c:pt idx="6">
                  <c:v>10649202</c:v>
                </c:pt>
                <c:pt idx="7">
                  <c:v>11388842</c:v>
                </c:pt>
              </c:numCache>
            </c:numRef>
          </c:val>
          <c:extLst>
            <c:ext xmlns:c16="http://schemas.microsoft.com/office/drawing/2014/chart" uri="{C3380CC4-5D6E-409C-BE32-E72D297353CC}">
              <c16:uniqueId val="{00000000-F705-4181-A075-1DC92D530619}"/>
            </c:ext>
          </c:extLst>
        </c:ser>
        <c:dLbls>
          <c:dLblPos val="outEnd"/>
          <c:showLegendKey val="0"/>
          <c:showVal val="1"/>
          <c:showCatName val="0"/>
          <c:showSerName val="0"/>
          <c:showPercent val="0"/>
          <c:showBubbleSize val="0"/>
        </c:dLbls>
        <c:gapWidth val="219"/>
        <c:overlap val="-27"/>
        <c:axId val="1525195775"/>
        <c:axId val="1525214495"/>
      </c:barChart>
      <c:catAx>
        <c:axId val="152519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525214495"/>
        <c:crosses val="autoZero"/>
        <c:auto val="1"/>
        <c:lblAlgn val="ctr"/>
        <c:lblOffset val="100"/>
        <c:noMultiLvlLbl val="0"/>
      </c:catAx>
      <c:valAx>
        <c:axId val="1525214495"/>
        <c:scaling>
          <c:orientation val="minMax"/>
        </c:scaling>
        <c:delete val="1"/>
        <c:axPos val="l"/>
        <c:numFmt formatCode="General" sourceLinked="1"/>
        <c:majorTickMark val="none"/>
        <c:minorTickMark val="none"/>
        <c:tickLblPos val="nextTo"/>
        <c:crossAx val="1525195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[India_Retail_Sales_Dataset for GitHub.xlsx]Pivot!PivotTable12</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Pivot!$G$5</c:f>
              <c:strCache>
                <c:ptCount val="1"/>
                <c:pt idx="0">
                  <c:v>Total</c:v>
                </c:pt>
              </c:strCache>
            </c:strRef>
          </c:tx>
          <c:dPt>
            <c:idx val="0"/>
            <c:bubble3D val="0"/>
            <c:spPr>
              <a:solidFill>
                <a:schemeClr val="accent1"/>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Pivot!$G$6</c:f>
              <c:strCache>
                <c:ptCount val="1"/>
                <c:pt idx="0">
                  <c:v>Total</c:v>
                </c:pt>
              </c:strCache>
            </c:strRef>
          </c:cat>
          <c:val>
            <c:numRef>
              <c:f>Pivot!$G$6</c:f>
              <c:numCache>
                <c:formatCode>General</c:formatCode>
                <c:ptCount val="1"/>
                <c:pt idx="0">
                  <c:v>76359233</c:v>
                </c:pt>
              </c:numCache>
            </c:numRef>
          </c:val>
          <c:extLst>
            <c:ext xmlns:c16="http://schemas.microsoft.com/office/drawing/2014/chart" uri="{C3380CC4-5D6E-409C-BE32-E72D297353CC}">
              <c16:uniqueId val="{00000000-FEE0-4FA3-971B-E72AC181D3F3}"/>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[India_Retail_Sales_Dataset for GitHub.xlsx]Pivot!PivotTable7</c:name>
    <c:fmtId val="5"/>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solidFill>
                  <a:schemeClr val="lt1"/>
                </a:solidFill>
                <a:latin typeface="+mn-lt"/>
                <a:ea typeface="+mn-ea"/>
                <a:cs typeface="+mn-cs"/>
              </a:rPr>
              <a:t>Monthly Trend</a:t>
            </a:r>
            <a:endParaRPr lang="en-US" b="1"/>
          </a:p>
        </c:rich>
      </c:tx>
      <c:overlay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Pivot!$B$62</c:f>
              <c:strCache>
                <c:ptCount val="1"/>
                <c:pt idx="0">
                  <c:v>Total</c:v>
                </c:pt>
              </c:strCache>
            </c:strRef>
          </c:tx>
          <c:spPr>
            <a:ln w="28575" cap="rnd">
              <a:solidFill>
                <a:schemeClr val="accent1"/>
              </a:solidFill>
              <a:round/>
            </a:ln>
            <a:effectLst/>
          </c:spPr>
          <c:marker>
            <c:symbol val="none"/>
          </c:marker>
          <c:cat>
            <c:strRef>
              <c:f>Pivot!$A$63:$A$75</c:f>
              <c:strCache>
                <c:ptCount val="12"/>
                <c:pt idx="0">
                  <c:v>Apr</c:v>
                </c:pt>
                <c:pt idx="1">
                  <c:v>Jun</c:v>
                </c:pt>
                <c:pt idx="2">
                  <c:v>Oct</c:v>
                </c:pt>
                <c:pt idx="3">
                  <c:v>Dec</c:v>
                </c:pt>
                <c:pt idx="4">
                  <c:v>Nov</c:v>
                </c:pt>
                <c:pt idx="5">
                  <c:v>Mar</c:v>
                </c:pt>
                <c:pt idx="6">
                  <c:v>Aug</c:v>
                </c:pt>
                <c:pt idx="7">
                  <c:v>May</c:v>
                </c:pt>
                <c:pt idx="8">
                  <c:v>Jan</c:v>
                </c:pt>
                <c:pt idx="9">
                  <c:v>Feb</c:v>
                </c:pt>
                <c:pt idx="10">
                  <c:v>Jul</c:v>
                </c:pt>
                <c:pt idx="11">
                  <c:v>Sep</c:v>
                </c:pt>
              </c:strCache>
            </c:strRef>
          </c:cat>
          <c:val>
            <c:numRef>
              <c:f>Pivot!$B$63:$B$75</c:f>
              <c:numCache>
                <c:formatCode>General</c:formatCode>
                <c:ptCount val="12"/>
                <c:pt idx="0">
                  <c:v>4155823</c:v>
                </c:pt>
                <c:pt idx="1">
                  <c:v>5238566</c:v>
                </c:pt>
                <c:pt idx="2">
                  <c:v>5478944</c:v>
                </c:pt>
                <c:pt idx="3">
                  <c:v>5589848</c:v>
                </c:pt>
                <c:pt idx="4">
                  <c:v>6098460</c:v>
                </c:pt>
                <c:pt idx="5">
                  <c:v>6287410</c:v>
                </c:pt>
                <c:pt idx="6">
                  <c:v>6995740</c:v>
                </c:pt>
                <c:pt idx="7">
                  <c:v>7051281</c:v>
                </c:pt>
                <c:pt idx="8">
                  <c:v>7118000</c:v>
                </c:pt>
                <c:pt idx="9">
                  <c:v>7234235</c:v>
                </c:pt>
                <c:pt idx="10">
                  <c:v>7300254</c:v>
                </c:pt>
                <c:pt idx="11">
                  <c:v>7810672</c:v>
                </c:pt>
              </c:numCache>
            </c:numRef>
          </c:val>
          <c:smooth val="0"/>
          <c:extLst>
            <c:ext xmlns:c16="http://schemas.microsoft.com/office/drawing/2014/chart" uri="{C3380CC4-5D6E-409C-BE32-E72D297353CC}">
              <c16:uniqueId val="{00000000-A43B-4390-90BE-DEA86CC80BB1}"/>
            </c:ext>
          </c:extLst>
        </c:ser>
        <c:dLbls>
          <c:showLegendKey val="0"/>
          <c:showVal val="0"/>
          <c:showCatName val="0"/>
          <c:showSerName val="0"/>
          <c:showPercent val="0"/>
          <c:showBubbleSize val="0"/>
        </c:dLbls>
        <c:smooth val="0"/>
        <c:axId val="1525207295"/>
        <c:axId val="1525197215"/>
      </c:lineChart>
      <c:catAx>
        <c:axId val="152520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197215"/>
        <c:crosses val="autoZero"/>
        <c:auto val="1"/>
        <c:lblAlgn val="ctr"/>
        <c:lblOffset val="100"/>
        <c:noMultiLvlLbl val="0"/>
      </c:catAx>
      <c:valAx>
        <c:axId val="1525197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525207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[India_Retail_Sales_Dataset for GitHub.xlsx]Pivot!PivotTable5</c:name>
    <c:fmtId val="13"/>
  </c:pivotSource>
  <c:chart>
    <c:title>
      <c:tx>
        <c:rich>
          <a:bodyPr rot="0" spcFirstLastPara="1" vertOverflow="ellipsis" vert="horz" wrap="square" anchor="ctr" anchorCtr="1"/>
          <a:lstStyle/>
          <a:p>
            <a:pPr>
              <a:defRPr>
                <a:solidFill>
                  <a:schemeClr val="lt1"/>
                </a:solidFill>
                <a:latin typeface="+mn-lt"/>
                <a:ea typeface="+mn-ea"/>
                <a:cs typeface="+mn-cs"/>
              </a:defRPr>
            </a:pPr>
            <a:r>
              <a:rPr lang="en-US">
                <a:solidFill>
                  <a:schemeClr val="lt1"/>
                </a:solidFill>
                <a:latin typeface="+mn-lt"/>
                <a:ea typeface="+mn-ea"/>
                <a:cs typeface="+mn-cs"/>
              </a:rPr>
              <a:t>Highest Sales Region</a:t>
            </a:r>
            <a:endParaRPr lang="en-US"/>
          </a:p>
        </c:rich>
      </c:tx>
      <c:overlay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dLbl>
          <c:idx val="0"/>
          <c:showLegendKey val="0"/>
          <c:showVal val="1"/>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Pivot!$B$23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Pivot!$A$24:$A$28</c:f>
              <c:strCache>
                <c:ptCount val="4"/>
                <c:pt idx="0">
                  <c:v>South</c:v>
                </c:pt>
                <c:pt idx="1">
                  <c:v>West</c:v>
                </c:pt>
                <c:pt idx="2">
                  <c:v>North</c:v>
                </c:pt>
                <c:pt idx="3">
                  <c:v>East</c:v>
                </c:pt>
              </c:strCache>
            </c:strRef>
          </c:cat>
          <c:val>
            <c:numRef>
              <c:f>Pivot!$B$24:$B$28</c:f>
              <c:numCache>
                <c:formatCode>0.00%</c:formatCode>
                <c:ptCount val="4"/>
                <c:pt idx="0">
                  <c:v>0.26061583148694017</c:v>
                </c:pt>
                <c:pt idx="1">
                  <c:v>0.25122211481616114</c:v>
                </c:pt>
                <c:pt idx="2">
                  <c:v>0.24501368419978761</c:v>
                </c:pt>
                <c:pt idx="3">
                  <c:v>0.24314836949711111</c:v>
                </c:pt>
              </c:numCache>
            </c:numRef>
          </c:val>
          <c:extLst>
            <c:ext xmlns:c16="http://schemas.microsoft.com/office/drawing/2014/chart" uri="{C3380CC4-5D6E-409C-BE32-E72D297353CC}">
              <c16:uniqueId val="{0000000E-9A56-4763-B3FD-CFA759B00B1E}"/>
            </c:ext>
          </c:extLst>
        </c:ser>
        <c:dLbls>
          <c:showLegendKey val="0"/>
          <c:showVal val="0"/>
          <c:showCatName val="0"/>
          <c:showSerName val="0"/>
          <c:showPercent val="0"/>
          <c:showBubbleSize val="0"/>
        </c:dLbls>
        <c:gapWidth val="150"/>
        <c:axId val="124717504"/>
        <c:axId val="124734304"/>
      </c:barChart>
      <c:catAx>
        <c:axId val="124717504"/>
        <c:scaling>
          <c:orientation val="minMax"/>
        </c:scaling>
        <c:delete val="0"/>
        <c:axPos val="b"/>
        <c:numFmt formatCode="General"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24734304"/>
        <c:crosses val="autoZero"/>
        <c:auto val="1"/>
        <c:lblAlgn val="ctr"/>
        <c:lblOffset val="100"/>
        <c:noMultiLvlLbl val="0"/>
      </c:catAx>
      <c:valAx>
        <c:axId val="124734304"/>
        <c:scaling>
          <c:orientation val="minMax"/>
        </c:scaling>
        <c:delete val="1"/>
        <c:axPos val="l"/>
        <c:numFmt formatCode="0.00%" sourceLinked="1"/>
        <c:majorTickMark val="none"/>
        <c:minorTickMark val="none"/>
        <c:tickLblPos val="nextTo"/>
        <c:crossAx val="124717504"/>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[India_Retail_Sales_Dataset for GitHub.xlsx]Pivot!PivotTable12</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Total</a:t>
            </a:r>
            <a:r>
              <a:rPr lang="en-US" baseline="0">
                <a:solidFill>
                  <a:schemeClr val="lt1"/>
                </a:solidFill>
                <a:latin typeface="+mn-lt"/>
                <a:ea typeface="+mn-ea"/>
                <a:cs typeface="+mn-cs"/>
              </a:rPr>
              <a:t> Sales Amount</a:t>
            </a:r>
            <a:endParaRPr lang="en-US"/>
          </a:p>
        </c:rich>
      </c:tx>
      <c:overlay val="0"/>
      <c:spPr>
        <a:solidFill>
          <a:schemeClr val="accent2"/>
        </a:solidFill>
        <a:ln>
          <a:solidFill>
            <a:schemeClr val="tx1"/>
          </a:solid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pivotFmt>
    </c:pivotFmts>
    <c:plotArea>
      <c:layout/>
      <c:doughnutChart>
        <c:varyColors val="1"/>
        <c:ser>
          <c:idx val="0"/>
          <c:order val="0"/>
          <c:tx>
            <c:strRef>
              <c:f>Pivot!$G$5</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6327-462B-AE88-A867A03F5F17}"/>
              </c:ext>
            </c:extLst>
          </c:dPt>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Pivot!$G$6</c:f>
              <c:strCache>
                <c:ptCount val="1"/>
                <c:pt idx="0">
                  <c:v>Total</c:v>
                </c:pt>
              </c:strCache>
            </c:strRef>
          </c:cat>
          <c:val>
            <c:numRef>
              <c:f>Pivot!$G$6</c:f>
              <c:numCache>
                <c:formatCode>General</c:formatCode>
                <c:ptCount val="1"/>
                <c:pt idx="0">
                  <c:v>76359233</c:v>
                </c:pt>
              </c:numCache>
            </c:numRef>
          </c:val>
          <c:extLst>
            <c:ext xmlns:c16="http://schemas.microsoft.com/office/drawing/2014/chart" uri="{C3380CC4-5D6E-409C-BE32-E72D297353CC}">
              <c16:uniqueId val="{00000002-6327-462B-AE88-A867A03F5F17}"/>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[India_Retail_Sales_Dataset for GitHub.xlsx]Pivot!PivotTable6</c:name>
    <c:fmtId val="8"/>
  </c:pivotSource>
  <c:chart>
    <c:title>
      <c:tx>
        <c:rich>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r>
              <a:rPr lang="en-IN" sz="1400" b="1" i="0" u="none" strike="noStrike" cap="none" baseline="0"/>
              <a:t>Top 5 performing products</a:t>
            </a:r>
            <a:endParaRPr lang="en-US"/>
          </a:p>
        </c:rich>
      </c:tx>
      <c:layout>
        <c:manualLayout>
          <c:xMode val="edge"/>
          <c:yMode val="edge"/>
          <c:x val="0.32178455818022744"/>
          <c:y val="3.2407407407407406E-2"/>
        </c:manualLayout>
      </c:layout>
      <c:overlay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txPr>
        <a:bodyPr rot="0" spcFirstLastPara="1" vertOverflow="ellipsis" vert="horz" wrap="square" anchor="ctr" anchorCtr="1"/>
        <a:lstStyle/>
        <a:p>
          <a:pPr>
            <a:defRPr sz="1400" b="1" i="0" u="none" strike="noStrike" kern="1200" cap="none" baseline="0">
              <a:solidFill>
                <a:schemeClr val="lt1"/>
              </a:solidFill>
              <a:latin typeface="+mn-lt"/>
              <a:ea typeface="+mn-ea"/>
              <a:cs typeface="+mn-cs"/>
            </a:defRPr>
          </a:pPr>
          <a:endParaRPr lang="en-US"/>
        </a:p>
      </c:txPr>
    </c:title>
    <c:autoTitleDeleted val="0"/>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circle"/>
          <c:size val="4"/>
          <c:spPr>
            <a:solidFill>
              <a:schemeClr val="accent1">
                <a:lumMod val="60000"/>
                <a:lumOff val="40000"/>
              </a:schemeClr>
            </a:solidFill>
            <a:ln>
              <a:noFill/>
            </a:ln>
            <a:effectLst>
              <a:glow rad="63500">
                <a:schemeClr val="accent1">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Pivot!$B$40</c:f>
              <c:strCache>
                <c:ptCount val="1"/>
                <c:pt idx="0">
                  <c:v>Total</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Pivot!$A$41:$A$46</c:f>
              <c:strCache>
                <c:ptCount val="5"/>
                <c:pt idx="0">
                  <c:v>Sandals</c:v>
                </c:pt>
                <c:pt idx="1">
                  <c:v>Shoes</c:v>
                </c:pt>
                <c:pt idx="2">
                  <c:v>Jeans</c:v>
                </c:pt>
                <c:pt idx="3">
                  <c:v>Jacket</c:v>
                </c:pt>
                <c:pt idx="4">
                  <c:v>TV</c:v>
                </c:pt>
              </c:strCache>
            </c:strRef>
          </c:cat>
          <c:val>
            <c:numRef>
              <c:f>Pivot!$B$41:$B$46</c:f>
              <c:numCache>
                <c:formatCode>General</c:formatCode>
                <c:ptCount val="5"/>
                <c:pt idx="0">
                  <c:v>7134930</c:v>
                </c:pt>
                <c:pt idx="1">
                  <c:v>7083098</c:v>
                </c:pt>
                <c:pt idx="2">
                  <c:v>7076115</c:v>
                </c:pt>
                <c:pt idx="3">
                  <c:v>5900620</c:v>
                </c:pt>
                <c:pt idx="4">
                  <c:v>5446797</c:v>
                </c:pt>
              </c:numCache>
            </c:numRef>
          </c:val>
          <c:extLst>
            <c:ext xmlns:c16="http://schemas.microsoft.com/office/drawing/2014/chart" uri="{C3380CC4-5D6E-409C-BE32-E72D297353CC}">
              <c16:uniqueId val="{00000000-397B-4DD4-9E14-2DEB8EE65200}"/>
            </c:ext>
          </c:extLst>
        </c:ser>
        <c:dLbls>
          <c:dLblPos val="outEnd"/>
          <c:showLegendKey val="0"/>
          <c:showVal val="1"/>
          <c:showCatName val="0"/>
          <c:showSerName val="0"/>
          <c:showPercent val="0"/>
          <c:showBubbleSize val="0"/>
        </c:dLbls>
        <c:gapWidth val="182"/>
        <c:overlap val="-50"/>
        <c:axId val="124730464"/>
        <c:axId val="124726144"/>
      </c:barChart>
      <c:catAx>
        <c:axId val="12473046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bg1"/>
                </a:solidFill>
                <a:latin typeface="+mn-lt"/>
                <a:ea typeface="+mn-ea"/>
                <a:cs typeface="+mn-cs"/>
              </a:defRPr>
            </a:pPr>
            <a:endParaRPr lang="en-US"/>
          </a:p>
        </c:txPr>
        <c:crossAx val="124726144"/>
        <c:crosses val="autoZero"/>
        <c:auto val="1"/>
        <c:lblAlgn val="ctr"/>
        <c:lblOffset val="100"/>
        <c:noMultiLvlLbl val="0"/>
      </c:catAx>
      <c:valAx>
        <c:axId val="124726144"/>
        <c:scaling>
          <c:orientation val="minMax"/>
        </c:scaling>
        <c:delete val="1"/>
        <c:axPos val="b"/>
        <c:numFmt formatCode="General" sourceLinked="1"/>
        <c:majorTickMark val="none"/>
        <c:minorTickMark val="none"/>
        <c:tickLblPos val="nextTo"/>
        <c:crossAx val="1247304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[India_Retail_Sales_Dataset for GitHub.xlsx]Pivot!PivotTable8</c:name>
    <c:fmtId val="2"/>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a:solidFill>
                  <a:schemeClr val="lt1"/>
                </a:solidFill>
                <a:latin typeface="+mn-lt"/>
                <a:ea typeface="+mn-ea"/>
                <a:cs typeface="+mn-cs"/>
              </a:rPr>
              <a:t>Top 5</a:t>
            </a:r>
            <a:r>
              <a:rPr lang="en-US" baseline="0">
                <a:solidFill>
                  <a:schemeClr val="lt1"/>
                </a:solidFill>
                <a:latin typeface="+mn-lt"/>
                <a:ea typeface="+mn-ea"/>
                <a:cs typeface="+mn-cs"/>
              </a:rPr>
              <a:t> Salesman</a:t>
            </a:r>
            <a:endParaRPr lang="en-US"/>
          </a:p>
        </c:rich>
      </c:tx>
      <c:overlay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333333333333333E-2"/>
          <c:y val="0.16708333333333336"/>
          <c:w val="0.93888888888888888"/>
          <c:h val="0.72088764946048411"/>
        </c:manualLayout>
      </c:layout>
      <c:barChart>
        <c:barDir val="col"/>
        <c:grouping val="clustered"/>
        <c:varyColors val="0"/>
        <c:ser>
          <c:idx val="0"/>
          <c:order val="0"/>
          <c:tx>
            <c:strRef>
              <c:f>Pivot!$C$91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Pivot!$B$92:$B$100</c:f>
              <c:strCache>
                <c:ptCount val="8"/>
                <c:pt idx="0">
                  <c:v>Vikram</c:v>
                </c:pt>
                <c:pt idx="1">
                  <c:v>Sneha</c:v>
                </c:pt>
                <c:pt idx="2">
                  <c:v>Amit</c:v>
                </c:pt>
                <c:pt idx="3">
                  <c:v>Anita</c:v>
                </c:pt>
                <c:pt idx="4">
                  <c:v>Priya</c:v>
                </c:pt>
                <c:pt idx="5">
                  <c:v>Rahul</c:v>
                </c:pt>
                <c:pt idx="6">
                  <c:v>Riya</c:v>
                </c:pt>
                <c:pt idx="7">
                  <c:v>Karan</c:v>
                </c:pt>
              </c:strCache>
            </c:strRef>
          </c:cat>
          <c:val>
            <c:numRef>
              <c:f>Pivot!$C$92:$C$100</c:f>
              <c:numCache>
                <c:formatCode>General</c:formatCode>
                <c:ptCount val="8"/>
                <c:pt idx="0">
                  <c:v>7752391</c:v>
                </c:pt>
                <c:pt idx="1">
                  <c:v>7769000</c:v>
                </c:pt>
                <c:pt idx="2">
                  <c:v>9308117</c:v>
                </c:pt>
                <c:pt idx="3">
                  <c:v>9520432</c:v>
                </c:pt>
                <c:pt idx="4">
                  <c:v>9780190</c:v>
                </c:pt>
                <c:pt idx="5">
                  <c:v>10191059</c:v>
                </c:pt>
                <c:pt idx="6">
                  <c:v>10649202</c:v>
                </c:pt>
                <c:pt idx="7">
                  <c:v>11388842</c:v>
                </c:pt>
              </c:numCache>
            </c:numRef>
          </c:val>
          <c:extLst>
            <c:ext xmlns:c16="http://schemas.microsoft.com/office/drawing/2014/chart" uri="{C3380CC4-5D6E-409C-BE32-E72D297353CC}">
              <c16:uniqueId val="{00000000-BD64-4DE0-AF65-902393D06ACD}"/>
            </c:ext>
          </c:extLst>
        </c:ser>
        <c:dLbls>
          <c:dLblPos val="outEnd"/>
          <c:showLegendKey val="0"/>
          <c:showVal val="1"/>
          <c:showCatName val="0"/>
          <c:showSerName val="0"/>
          <c:showPercent val="0"/>
          <c:showBubbleSize val="0"/>
        </c:dLbls>
        <c:gapWidth val="219"/>
        <c:overlap val="-27"/>
        <c:axId val="1525195775"/>
        <c:axId val="1525214495"/>
      </c:barChart>
      <c:catAx>
        <c:axId val="15251957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525214495"/>
        <c:crosses val="autoZero"/>
        <c:auto val="1"/>
        <c:lblAlgn val="ctr"/>
        <c:lblOffset val="100"/>
        <c:noMultiLvlLbl val="0"/>
      </c:catAx>
      <c:valAx>
        <c:axId val="1525214495"/>
        <c:scaling>
          <c:orientation val="minMax"/>
        </c:scaling>
        <c:delete val="1"/>
        <c:axPos val="l"/>
        <c:numFmt formatCode="General" sourceLinked="1"/>
        <c:majorTickMark val="none"/>
        <c:minorTickMark val="none"/>
        <c:tickLblPos val="nextTo"/>
        <c:crossAx val="15251957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[India_Retail_Sales_Dataset for GitHub.xlsx]Pivot!PivotTable7</c:name>
    <c:fmtId val="7"/>
  </c:pivotSource>
  <c:chart>
    <c:title>
      <c:tx>
        <c:rich>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r>
              <a:rPr lang="en-US" b="1">
                <a:solidFill>
                  <a:schemeClr val="lt1"/>
                </a:solidFill>
                <a:latin typeface="+mn-lt"/>
                <a:ea typeface="+mn-ea"/>
                <a:cs typeface="+mn-cs"/>
              </a:rPr>
              <a:t>Monthly Trend</a:t>
            </a:r>
            <a:endParaRPr lang="en-US" b="1"/>
          </a:p>
        </c:rich>
      </c:tx>
      <c:overlay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txPr>
        <a:bodyPr rot="0" spcFirstLastPara="1" vertOverflow="ellipsis" vert="horz" wrap="square" anchor="ctr" anchorCtr="1"/>
        <a:lstStyle/>
        <a:p>
          <a:pPr>
            <a:defRPr sz="1400" b="0" i="0" u="none" strike="noStrike" kern="1200" spc="0" baseline="0">
              <a:solidFill>
                <a:schemeClr val="lt1"/>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Pivot!$B$62</c:f>
              <c:strCache>
                <c:ptCount val="1"/>
                <c:pt idx="0">
                  <c:v>Total</c:v>
                </c:pt>
              </c:strCache>
            </c:strRef>
          </c:tx>
          <c:spPr>
            <a:ln w="28575" cap="rnd">
              <a:solidFill>
                <a:schemeClr val="accent1"/>
              </a:solidFill>
              <a:round/>
            </a:ln>
            <a:effectLst/>
          </c:spPr>
          <c:marker>
            <c:symbol val="none"/>
          </c:marker>
          <c:cat>
            <c:strRef>
              <c:f>Pivot!$A$63:$A$75</c:f>
              <c:strCache>
                <c:ptCount val="12"/>
                <c:pt idx="0">
                  <c:v>Apr</c:v>
                </c:pt>
                <c:pt idx="1">
                  <c:v>Jun</c:v>
                </c:pt>
                <c:pt idx="2">
                  <c:v>Oct</c:v>
                </c:pt>
                <c:pt idx="3">
                  <c:v>Dec</c:v>
                </c:pt>
                <c:pt idx="4">
                  <c:v>Nov</c:v>
                </c:pt>
                <c:pt idx="5">
                  <c:v>Mar</c:v>
                </c:pt>
                <c:pt idx="6">
                  <c:v>Aug</c:v>
                </c:pt>
                <c:pt idx="7">
                  <c:v>May</c:v>
                </c:pt>
                <c:pt idx="8">
                  <c:v>Jan</c:v>
                </c:pt>
                <c:pt idx="9">
                  <c:v>Feb</c:v>
                </c:pt>
                <c:pt idx="10">
                  <c:v>Jul</c:v>
                </c:pt>
                <c:pt idx="11">
                  <c:v>Sep</c:v>
                </c:pt>
              </c:strCache>
            </c:strRef>
          </c:cat>
          <c:val>
            <c:numRef>
              <c:f>Pivot!$B$63:$B$75</c:f>
              <c:numCache>
                <c:formatCode>General</c:formatCode>
                <c:ptCount val="12"/>
                <c:pt idx="0">
                  <c:v>4155823</c:v>
                </c:pt>
                <c:pt idx="1">
                  <c:v>5238566</c:v>
                </c:pt>
                <c:pt idx="2">
                  <c:v>5478944</c:v>
                </c:pt>
                <c:pt idx="3">
                  <c:v>5589848</c:v>
                </c:pt>
                <c:pt idx="4">
                  <c:v>6098460</c:v>
                </c:pt>
                <c:pt idx="5">
                  <c:v>6287410</c:v>
                </c:pt>
                <c:pt idx="6">
                  <c:v>6995740</c:v>
                </c:pt>
                <c:pt idx="7">
                  <c:v>7051281</c:v>
                </c:pt>
                <c:pt idx="8">
                  <c:v>7118000</c:v>
                </c:pt>
                <c:pt idx="9">
                  <c:v>7234235</c:v>
                </c:pt>
                <c:pt idx="10">
                  <c:v>7300254</c:v>
                </c:pt>
                <c:pt idx="11">
                  <c:v>7810672</c:v>
                </c:pt>
              </c:numCache>
            </c:numRef>
          </c:val>
          <c:smooth val="0"/>
          <c:extLst>
            <c:ext xmlns:c16="http://schemas.microsoft.com/office/drawing/2014/chart" uri="{C3380CC4-5D6E-409C-BE32-E72D297353CC}">
              <c16:uniqueId val="{00000000-A49E-4435-94E6-DD3F77DA6F6F}"/>
            </c:ext>
          </c:extLst>
        </c:ser>
        <c:dLbls>
          <c:showLegendKey val="0"/>
          <c:showVal val="0"/>
          <c:showCatName val="0"/>
          <c:showSerName val="0"/>
          <c:showPercent val="0"/>
          <c:showBubbleSize val="0"/>
        </c:dLbls>
        <c:smooth val="0"/>
        <c:axId val="1525207295"/>
        <c:axId val="1525197215"/>
      </c:lineChart>
      <c:catAx>
        <c:axId val="1525207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25197215"/>
        <c:crosses val="autoZero"/>
        <c:auto val="1"/>
        <c:lblAlgn val="ctr"/>
        <c:lblOffset val="100"/>
        <c:noMultiLvlLbl val="0"/>
      </c:catAx>
      <c:valAx>
        <c:axId val="152519721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52520729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9">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dk1">
                <a:lumMod val="65000"/>
                <a:lumOff val="35000"/>
              </a:schemeClr>
            </a:gs>
            <a:gs pos="100000">
              <a:schemeClr val="dk1">
                <a:lumMod val="75000"/>
                <a:lumOff val="25000"/>
              </a:schemeClr>
            </a:gs>
          </a:gsLst>
          <a:lin ang="10800000" scaled="0"/>
        </a:gradFill>
        <a:round/>
      </a:ln>
      <a:effectLst/>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5</xdr:col>
      <xdr:colOff>114300</xdr:colOff>
      <xdr:row>35</xdr:row>
      <xdr:rowOff>160020</xdr:rowOff>
    </xdr:from>
    <xdr:to>
      <xdr:col>12</xdr:col>
      <xdr:colOff>419100</xdr:colOff>
      <xdr:row>50</xdr:row>
      <xdr:rowOff>160020</xdr:rowOff>
    </xdr:to>
    <xdr:graphicFrame macro="">
      <xdr:nvGraphicFramePr>
        <xdr:cNvPr id="2" name="Chart 1">
          <a:extLst>
            <a:ext uri="{FF2B5EF4-FFF2-40B4-BE49-F238E27FC236}">
              <a16:creationId xmlns:a16="http://schemas.microsoft.com/office/drawing/2014/main" id="{8A00A19D-1DB5-33E1-A68A-0A175A01052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106680</xdr:colOff>
      <xdr:row>20</xdr:row>
      <xdr:rowOff>22860</xdr:rowOff>
    </xdr:from>
    <xdr:to>
      <xdr:col>12</xdr:col>
      <xdr:colOff>411480</xdr:colOff>
      <xdr:row>35</xdr:row>
      <xdr:rowOff>22860</xdr:rowOff>
    </xdr:to>
    <xdr:graphicFrame macro="">
      <xdr:nvGraphicFramePr>
        <xdr:cNvPr id="3" name="Chart 2">
          <a:extLst>
            <a:ext uri="{FF2B5EF4-FFF2-40B4-BE49-F238E27FC236}">
              <a16:creationId xmlns:a16="http://schemas.microsoft.com/office/drawing/2014/main" id="{2392D0A7-E9BA-E97C-65E1-F220BA7270C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266700</xdr:colOff>
      <xdr:row>85</xdr:row>
      <xdr:rowOff>53340</xdr:rowOff>
    </xdr:from>
    <xdr:to>
      <xdr:col>12</xdr:col>
      <xdr:colOff>571500</xdr:colOff>
      <xdr:row>100</xdr:row>
      <xdr:rowOff>53340</xdr:rowOff>
    </xdr:to>
    <xdr:graphicFrame macro="">
      <xdr:nvGraphicFramePr>
        <xdr:cNvPr id="5" name="Chart 4">
          <a:extLst>
            <a:ext uri="{FF2B5EF4-FFF2-40B4-BE49-F238E27FC236}">
              <a16:creationId xmlns:a16="http://schemas.microsoft.com/office/drawing/2014/main" id="{8341F447-133D-7E87-E6BD-010E0DC53E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335280</xdr:colOff>
      <xdr:row>1</xdr:row>
      <xdr:rowOff>121920</xdr:rowOff>
    </xdr:from>
    <xdr:to>
      <xdr:col>15</xdr:col>
      <xdr:colOff>30480</xdr:colOff>
      <xdr:row>16</xdr:row>
      <xdr:rowOff>121920</xdr:rowOff>
    </xdr:to>
    <xdr:graphicFrame macro="">
      <xdr:nvGraphicFramePr>
        <xdr:cNvPr id="6" name="Chart 5">
          <a:extLst>
            <a:ext uri="{FF2B5EF4-FFF2-40B4-BE49-F238E27FC236}">
              <a16:creationId xmlns:a16="http://schemas.microsoft.com/office/drawing/2014/main" id="{BDAC4B54-6359-F7A7-BA43-02D7A33FAB5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205740</xdr:colOff>
      <xdr:row>58</xdr:row>
      <xdr:rowOff>175260</xdr:rowOff>
    </xdr:from>
    <xdr:to>
      <xdr:col>10</xdr:col>
      <xdr:colOff>388620</xdr:colOff>
      <xdr:row>73</xdr:row>
      <xdr:rowOff>175260</xdr:rowOff>
    </xdr:to>
    <xdr:graphicFrame macro="">
      <xdr:nvGraphicFramePr>
        <xdr:cNvPr id="7" name="Chart 6">
          <a:extLst>
            <a:ext uri="{FF2B5EF4-FFF2-40B4-BE49-F238E27FC236}">
              <a16:creationId xmlns:a16="http://schemas.microsoft.com/office/drawing/2014/main" id="{2E05DC62-BEF9-764A-9D16-183A3810A0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324970</xdr:colOff>
      <xdr:row>10</xdr:row>
      <xdr:rowOff>7172</xdr:rowOff>
    </xdr:from>
    <xdr:to>
      <xdr:col>15</xdr:col>
      <xdr:colOff>20170</xdr:colOff>
      <xdr:row>25</xdr:row>
      <xdr:rowOff>7172</xdr:rowOff>
    </xdr:to>
    <xdr:graphicFrame macro="">
      <xdr:nvGraphicFramePr>
        <xdr:cNvPr id="2" name="Chart 1">
          <a:extLst>
            <a:ext uri="{FF2B5EF4-FFF2-40B4-BE49-F238E27FC236}">
              <a16:creationId xmlns:a16="http://schemas.microsoft.com/office/drawing/2014/main" id="{1FBA9AA2-3475-41B2-AF47-7A0AF77547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9</xdr:row>
      <xdr:rowOff>178846</xdr:rowOff>
    </xdr:from>
    <xdr:to>
      <xdr:col>7</xdr:col>
      <xdr:colOff>304800</xdr:colOff>
      <xdr:row>24</xdr:row>
      <xdr:rowOff>178846</xdr:rowOff>
    </xdr:to>
    <xdr:graphicFrame macro="">
      <xdr:nvGraphicFramePr>
        <xdr:cNvPr id="4" name="Chart 3">
          <a:extLst>
            <a:ext uri="{FF2B5EF4-FFF2-40B4-BE49-F238E27FC236}">
              <a16:creationId xmlns:a16="http://schemas.microsoft.com/office/drawing/2014/main" id="{A18F071B-AE90-421B-89AF-DCCC0220C1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326315</xdr:colOff>
      <xdr:row>25</xdr:row>
      <xdr:rowOff>30032</xdr:rowOff>
    </xdr:from>
    <xdr:to>
      <xdr:col>15</xdr:col>
      <xdr:colOff>44375</xdr:colOff>
      <xdr:row>40</xdr:row>
      <xdr:rowOff>30032</xdr:rowOff>
    </xdr:to>
    <xdr:graphicFrame macro="">
      <xdr:nvGraphicFramePr>
        <xdr:cNvPr id="5" name="Chart 4">
          <a:extLst>
            <a:ext uri="{FF2B5EF4-FFF2-40B4-BE49-F238E27FC236}">
              <a16:creationId xmlns:a16="http://schemas.microsoft.com/office/drawing/2014/main" id="{858F18CB-938B-4E3C-AADB-838D936B6B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13447</xdr:colOff>
      <xdr:row>10</xdr:row>
      <xdr:rowOff>23756</xdr:rowOff>
    </xdr:from>
    <xdr:to>
      <xdr:col>23</xdr:col>
      <xdr:colOff>303007</xdr:colOff>
      <xdr:row>25</xdr:row>
      <xdr:rowOff>23756</xdr:rowOff>
    </xdr:to>
    <xdr:graphicFrame macro="">
      <xdr:nvGraphicFramePr>
        <xdr:cNvPr id="6" name="Chart 5">
          <a:extLst>
            <a:ext uri="{FF2B5EF4-FFF2-40B4-BE49-F238E27FC236}">
              <a16:creationId xmlns:a16="http://schemas.microsoft.com/office/drawing/2014/main" id="{DFA2F0CB-36F6-47C6-AC22-C27FA4B288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24</xdr:row>
      <xdr:rowOff>174171</xdr:rowOff>
    </xdr:from>
    <xdr:to>
      <xdr:col>7</xdr:col>
      <xdr:colOff>304800</xdr:colOff>
      <xdr:row>39</xdr:row>
      <xdr:rowOff>97971</xdr:rowOff>
    </xdr:to>
    <xdr:graphicFrame macro="">
      <xdr:nvGraphicFramePr>
        <xdr:cNvPr id="7" name="Chart 6">
          <a:extLst>
            <a:ext uri="{FF2B5EF4-FFF2-40B4-BE49-F238E27FC236}">
              <a16:creationId xmlns:a16="http://schemas.microsoft.com/office/drawing/2014/main" id="{AC799B0A-ED4D-4371-A33A-554DB86782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26</xdr:col>
      <xdr:colOff>302623</xdr:colOff>
      <xdr:row>21</xdr:row>
      <xdr:rowOff>82732</xdr:rowOff>
    </xdr:from>
    <xdr:to>
      <xdr:col>29</xdr:col>
      <xdr:colOff>261257</xdr:colOff>
      <xdr:row>28</xdr:row>
      <xdr:rowOff>163287</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2E85F808-15DD-82CA-D81A-68C3C298991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044852" y="3968932"/>
              <a:ext cx="1787434" cy="13977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9797</xdr:colOff>
      <xdr:row>0</xdr:row>
      <xdr:rowOff>0</xdr:rowOff>
    </xdr:from>
    <xdr:to>
      <xdr:col>27</xdr:col>
      <xdr:colOff>9797</xdr:colOff>
      <xdr:row>13</xdr:row>
      <xdr:rowOff>61232</xdr:rowOff>
    </xdr:to>
    <mc:AlternateContent xmlns:mc="http://schemas.openxmlformats.org/markup-compatibility/2006">
      <mc:Choice xmlns:a14="http://schemas.microsoft.com/office/drawing/2010/main" Requires="a14">
        <xdr:graphicFrame macro="">
          <xdr:nvGraphicFramePr>
            <xdr:cNvPr id="9" name="City">
              <a:extLst>
                <a:ext uri="{FF2B5EF4-FFF2-40B4-BE49-F238E27FC236}">
                  <a16:creationId xmlns:a16="http://schemas.microsoft.com/office/drawing/2014/main" id="{47E0E882-2F9D-884C-38DD-45DADF9E303A}"/>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5532826" y="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26</xdr:col>
      <xdr:colOff>293913</xdr:colOff>
      <xdr:row>13</xdr:row>
      <xdr:rowOff>95795</xdr:rowOff>
    </xdr:from>
    <xdr:to>
      <xdr:col>29</xdr:col>
      <xdr:colOff>261257</xdr:colOff>
      <xdr:row>20</xdr:row>
      <xdr:rowOff>163287</xdr:rowOff>
    </xdr:to>
    <mc:AlternateContent xmlns:mc="http://schemas.openxmlformats.org/markup-compatibility/2006">
      <mc:Choice xmlns:a14="http://schemas.microsoft.com/office/drawing/2010/main" Requires="a14">
        <xdr:graphicFrame macro="">
          <xdr:nvGraphicFramePr>
            <xdr:cNvPr id="10" name="Category">
              <a:extLst>
                <a:ext uri="{FF2B5EF4-FFF2-40B4-BE49-F238E27FC236}">
                  <a16:creationId xmlns:a16="http://schemas.microsoft.com/office/drawing/2014/main" id="{CF80F49A-5AB4-4F63-1337-AFC98D76ADAF}"/>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17036142" y="2501538"/>
              <a:ext cx="1796144" cy="136289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23</xdr:col>
      <xdr:colOff>305889</xdr:colOff>
      <xdr:row>13</xdr:row>
      <xdr:rowOff>96882</xdr:rowOff>
    </xdr:from>
    <xdr:to>
      <xdr:col>26</xdr:col>
      <xdr:colOff>305889</xdr:colOff>
      <xdr:row>26</xdr:row>
      <xdr:rowOff>158114</xdr:rowOff>
    </xdr:to>
    <mc:AlternateContent xmlns:mc="http://schemas.openxmlformats.org/markup-compatibility/2006">
      <mc:Choice xmlns:a14="http://schemas.microsoft.com/office/drawing/2010/main" Requires="a14">
        <xdr:graphicFrame macro="">
          <xdr:nvGraphicFramePr>
            <xdr:cNvPr id="11" name="Salesperson">
              <a:extLst>
                <a:ext uri="{FF2B5EF4-FFF2-40B4-BE49-F238E27FC236}">
                  <a16:creationId xmlns:a16="http://schemas.microsoft.com/office/drawing/2014/main" id="{B4AFFE4C-1806-E9E8-0779-06C1FD299521}"/>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15219318" y="2502625"/>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27</xdr:col>
      <xdr:colOff>13062</xdr:colOff>
      <xdr:row>0</xdr:row>
      <xdr:rowOff>21771</xdr:rowOff>
    </xdr:from>
    <xdr:to>
      <xdr:col>30</xdr:col>
      <xdr:colOff>13062</xdr:colOff>
      <xdr:row>13</xdr:row>
      <xdr:rowOff>83003</xdr:rowOff>
    </xdr:to>
    <mc:AlternateContent xmlns:mc="http://schemas.openxmlformats.org/markup-compatibility/2006">
      <mc:Choice xmlns:a14="http://schemas.microsoft.com/office/drawing/2010/main" Requires="a14">
        <xdr:graphicFrame macro="">
          <xdr:nvGraphicFramePr>
            <xdr:cNvPr id="12" name="Months (Date)">
              <a:extLst>
                <a:ext uri="{FF2B5EF4-FFF2-40B4-BE49-F238E27FC236}">
                  <a16:creationId xmlns:a16="http://schemas.microsoft.com/office/drawing/2014/main" id="{894D3998-F88E-4135-2509-D6E6FF66C75A}"/>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17364891" y="21771"/>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ankaj Kumar" refreshedDate="45963.808537268516" createdVersion="8" refreshedVersion="8" minRefreshableVersion="3" recordCount="500" xr:uid="{E70703F1-A73D-4500-879A-7E8770ECB880}">
  <cacheSource type="worksheet">
    <worksheetSource name="Table1"/>
  </cacheSource>
  <cacheFields count="13">
    <cacheField name="Date" numFmtId="14">
      <sharedItems containsSemiMixedTypes="0" containsNonDate="0" containsDate="1" containsString="0" minDate="2023-01-03T00:00:00" maxDate="2024-01-01T00:00:00" count="273">
        <d v="2023-09-14T00:00:00"/>
        <d v="2023-10-23T00:00:00"/>
        <d v="2023-02-18T00:00:00"/>
        <d v="2023-04-02T00:00:00"/>
        <d v="2023-01-20T00:00:00"/>
        <d v="2023-05-18T00:00:00"/>
        <d v="2023-05-05T00:00:00"/>
        <d v="2023-11-23T00:00:00"/>
        <d v="2023-01-30T00:00:00"/>
        <d v="2023-02-24T00:00:00"/>
        <d v="2023-12-13T00:00:00"/>
        <d v="2023-05-20T00:00:00"/>
        <d v="2023-02-20T00:00:00"/>
        <d v="2023-10-30T00:00:00"/>
        <d v="2023-03-17T00:00:00"/>
        <d v="2023-06-14T00:00:00"/>
        <d v="2023-03-18T00:00:00"/>
        <d v="2023-09-10T00:00:00"/>
        <d v="2023-03-29T00:00:00"/>
        <d v="2023-12-12T00:00:00"/>
        <d v="2023-12-18T00:00:00"/>
        <d v="2023-10-19T00:00:00"/>
        <d v="2023-05-11T00:00:00"/>
        <d v="2023-06-06T00:00:00"/>
        <d v="2023-08-17T00:00:00"/>
        <d v="2023-10-06T00:00:00"/>
        <d v="2023-11-21T00:00:00"/>
        <d v="2023-07-22T00:00:00"/>
        <d v="2023-11-30T00:00:00"/>
        <d v="2023-05-22T00:00:00"/>
        <d v="2023-08-04T00:00:00"/>
        <d v="2023-09-05T00:00:00"/>
        <d v="2023-10-13T00:00:00"/>
        <d v="2023-06-09T00:00:00"/>
        <d v="2023-01-12T00:00:00"/>
        <d v="2023-12-31T00:00:00"/>
        <d v="2023-04-01T00:00:00"/>
        <d v="2023-06-08T00:00:00"/>
        <d v="2023-12-25T00:00:00"/>
        <d v="2023-05-06T00:00:00"/>
        <d v="2023-01-28T00:00:00"/>
        <d v="2023-01-17T00:00:00"/>
        <d v="2023-08-14T00:00:00"/>
        <d v="2023-07-19T00:00:00"/>
        <d v="2023-03-28T00:00:00"/>
        <d v="2023-05-28T00:00:00"/>
        <d v="2023-03-03T00:00:00"/>
        <d v="2023-10-04T00:00:00"/>
        <d v="2023-10-29T00:00:00"/>
        <d v="2023-10-01T00:00:00"/>
        <d v="2023-08-13T00:00:00"/>
        <d v="2023-09-07T00:00:00"/>
        <d v="2023-11-14T00:00:00"/>
        <d v="2023-07-05T00:00:00"/>
        <d v="2023-07-10T00:00:00"/>
        <d v="2023-10-14T00:00:00"/>
        <d v="2023-03-12T00:00:00"/>
        <d v="2023-03-24T00:00:00"/>
        <d v="2023-09-12T00:00:00"/>
        <d v="2023-05-25T00:00:00"/>
        <d v="2023-08-29T00:00:00"/>
        <d v="2023-08-06T00:00:00"/>
        <d v="2023-04-29T00:00:00"/>
        <d v="2023-01-21T00:00:00"/>
        <d v="2023-06-02T00:00:00"/>
        <d v="2023-03-19T00:00:00"/>
        <d v="2023-07-31T00:00:00"/>
        <d v="2023-08-12T00:00:00"/>
        <d v="2023-02-26T00:00:00"/>
        <d v="2023-04-17T00:00:00"/>
        <d v="2023-12-30T00:00:00"/>
        <d v="2023-06-13T00:00:00"/>
        <d v="2023-02-09T00:00:00"/>
        <d v="2023-01-07T00:00:00"/>
        <d v="2023-09-25T00:00:00"/>
        <d v="2023-12-08T00:00:00"/>
        <d v="2023-02-08T00:00:00"/>
        <d v="2023-12-17T00:00:00"/>
        <d v="2023-12-20T00:00:00"/>
        <d v="2023-09-13T00:00:00"/>
        <d v="2023-06-07T00:00:00"/>
        <d v="2023-11-29T00:00:00"/>
        <d v="2023-08-30T00:00:00"/>
        <d v="2023-11-09T00:00:00"/>
        <d v="2023-12-29T00:00:00"/>
        <d v="2023-03-26T00:00:00"/>
        <d v="2023-01-10T00:00:00"/>
        <d v="2023-01-22T00:00:00"/>
        <d v="2023-05-19T00:00:00"/>
        <d v="2023-02-05T00:00:00"/>
        <d v="2023-05-09T00:00:00"/>
        <d v="2023-06-01T00:00:00"/>
        <d v="2023-10-08T00:00:00"/>
        <d v="2023-01-11T00:00:00"/>
        <d v="2023-06-17T00:00:00"/>
        <d v="2023-03-07T00:00:00"/>
        <d v="2023-12-04T00:00:00"/>
        <d v="2023-01-18T00:00:00"/>
        <d v="2023-11-06T00:00:00"/>
        <d v="2023-07-18T00:00:00"/>
        <d v="2023-02-14T00:00:00"/>
        <d v="2023-08-02T00:00:00"/>
        <d v="2023-07-29T00:00:00"/>
        <d v="2023-09-21T00:00:00"/>
        <d v="2023-08-19T00:00:00"/>
        <d v="2023-10-10T00:00:00"/>
        <d v="2023-03-13T00:00:00"/>
        <d v="2023-11-16T00:00:00"/>
        <d v="2023-03-15T00:00:00"/>
        <d v="2023-05-12T00:00:00"/>
        <d v="2023-07-30T00:00:00"/>
        <d v="2023-08-18T00:00:00"/>
        <d v="2023-09-03T00:00:00"/>
        <d v="2023-04-16T00:00:00"/>
        <d v="2023-01-16T00:00:00"/>
        <d v="2023-04-09T00:00:00"/>
        <d v="2023-04-11T00:00:00"/>
        <d v="2023-08-25T00:00:00"/>
        <d v="2023-08-22T00:00:00"/>
        <d v="2023-04-10T00:00:00"/>
        <d v="2023-09-24T00:00:00"/>
        <d v="2023-06-22T00:00:00"/>
        <d v="2023-05-01T00:00:00"/>
        <d v="2023-08-26T00:00:00"/>
        <d v="2023-04-20T00:00:00"/>
        <d v="2023-02-25T00:00:00"/>
        <d v="2023-03-27T00:00:00"/>
        <d v="2023-12-21T00:00:00"/>
        <d v="2023-03-30T00:00:00"/>
        <d v="2023-12-23T00:00:00"/>
        <d v="2023-05-02T00:00:00"/>
        <d v="2023-06-20T00:00:00"/>
        <d v="2023-05-29T00:00:00"/>
        <d v="2023-06-25T00:00:00"/>
        <d v="2023-10-11T00:00:00"/>
        <d v="2023-05-31T00:00:00"/>
        <d v="2023-10-31T00:00:00"/>
        <d v="2023-02-07T00:00:00"/>
        <d v="2023-04-30T00:00:00"/>
        <d v="2023-05-15T00:00:00"/>
        <d v="2023-02-16T00:00:00"/>
        <d v="2023-11-19T00:00:00"/>
        <d v="2023-09-17T00:00:00"/>
        <d v="2023-12-19T00:00:00"/>
        <d v="2023-10-25T00:00:00"/>
        <d v="2023-12-14T00:00:00"/>
        <d v="2023-05-17T00:00:00"/>
        <d v="2023-11-26T00:00:00"/>
        <d v="2023-02-22T00:00:00"/>
        <d v="2023-10-18T00:00:00"/>
        <d v="2023-02-12T00:00:00"/>
        <d v="2023-10-20T00:00:00"/>
        <d v="2023-06-18T00:00:00"/>
        <d v="2023-04-05T00:00:00"/>
        <d v="2023-06-24T00:00:00"/>
        <d v="2023-03-31T00:00:00"/>
        <d v="2023-07-09T00:00:00"/>
        <d v="2023-07-15T00:00:00"/>
        <d v="2023-03-04T00:00:00"/>
        <d v="2023-03-23T00:00:00"/>
        <d v="2023-08-16T00:00:00"/>
        <d v="2023-07-27T00:00:00"/>
        <d v="2023-10-16T00:00:00"/>
        <d v="2023-07-08T00:00:00"/>
        <d v="2023-04-19T00:00:00"/>
        <d v="2023-05-04T00:00:00"/>
        <d v="2023-06-29T00:00:00"/>
        <d v="2023-11-17T00:00:00"/>
        <d v="2023-03-14T00:00:00"/>
        <d v="2023-07-07T00:00:00"/>
        <d v="2023-02-15T00:00:00"/>
        <d v="2023-06-03T00:00:00"/>
        <d v="2023-09-02T00:00:00"/>
        <d v="2023-03-10T00:00:00"/>
        <d v="2023-10-12T00:00:00"/>
        <d v="2023-10-02T00:00:00"/>
        <d v="2023-12-01T00:00:00"/>
        <d v="2023-09-18T00:00:00"/>
        <d v="2023-10-26T00:00:00"/>
        <d v="2023-02-19T00:00:00"/>
        <d v="2023-12-09T00:00:00"/>
        <d v="2023-11-05T00:00:00"/>
        <d v="2023-02-11T00:00:00"/>
        <d v="2023-02-03T00:00:00"/>
        <d v="2023-07-12T00:00:00"/>
        <d v="2023-02-13T00:00:00"/>
        <d v="2023-12-27T00:00:00"/>
        <d v="2023-02-04T00:00:00"/>
        <d v="2023-09-23T00:00:00"/>
        <d v="2023-12-26T00:00:00"/>
        <d v="2023-03-02T00:00:00"/>
        <d v="2023-07-20T00:00:00"/>
        <d v="2023-02-23T00:00:00"/>
        <d v="2023-07-04T00:00:00"/>
        <d v="2023-01-23T00:00:00"/>
        <d v="2023-12-02T00:00:00"/>
        <d v="2023-11-28T00:00:00"/>
        <d v="2023-07-03T00:00:00"/>
        <d v="2023-04-04T00:00:00"/>
        <d v="2023-11-20T00:00:00"/>
        <d v="2023-02-21T00:00:00"/>
        <d v="2023-12-24T00:00:00"/>
        <d v="2023-07-13T00:00:00"/>
        <d v="2023-08-28T00:00:00"/>
        <d v="2023-09-15T00:00:00"/>
        <d v="2023-04-06T00:00:00"/>
        <d v="2023-05-24T00:00:00"/>
        <d v="2023-03-05T00:00:00"/>
        <d v="2023-07-23T00:00:00"/>
        <d v="2023-08-10T00:00:00"/>
        <d v="2023-10-15T00:00:00"/>
        <d v="2023-09-19T00:00:00"/>
        <d v="2023-03-06T00:00:00"/>
        <d v="2023-02-06T00:00:00"/>
        <d v="2023-11-01T00:00:00"/>
        <d v="2023-03-25T00:00:00"/>
        <d v="2023-04-21T00:00:00"/>
        <d v="2023-08-27T00:00:00"/>
        <d v="2023-04-14T00:00:00"/>
        <d v="2023-07-01T00:00:00"/>
        <d v="2023-03-22T00:00:00"/>
        <d v="2023-08-11T00:00:00"/>
        <d v="2023-11-12T00:00:00"/>
        <d v="2023-04-07T00:00:00"/>
        <d v="2023-08-23T00:00:00"/>
        <d v="2023-01-24T00:00:00"/>
        <d v="2023-01-14T00:00:00"/>
        <d v="2023-12-15T00:00:00"/>
        <d v="2023-04-24T00:00:00"/>
        <d v="2023-10-24T00:00:00"/>
        <d v="2023-01-08T00:00:00"/>
        <d v="2023-11-11T00:00:00"/>
        <d v="2023-10-05T00:00:00"/>
        <d v="2023-03-11T00:00:00"/>
        <d v="2023-06-16T00:00:00"/>
        <d v="2023-12-07T00:00:00"/>
        <d v="2023-04-18T00:00:00"/>
        <d v="2023-06-11T00:00:00"/>
        <d v="2023-11-27T00:00:00"/>
        <d v="2023-09-28T00:00:00"/>
        <d v="2023-12-03T00:00:00"/>
        <d v="2023-01-03T00:00:00"/>
        <d v="2023-06-23T00:00:00"/>
        <d v="2023-02-28T00:00:00"/>
        <d v="2023-07-02T00:00:00"/>
        <d v="2023-11-10T00:00:00"/>
        <d v="2023-09-01T00:00:00"/>
        <d v="2023-07-14T00:00:00"/>
        <d v="2023-09-22T00:00:00"/>
        <d v="2023-09-29T00:00:00"/>
        <d v="2023-11-25T00:00:00"/>
        <d v="2023-04-13T00:00:00"/>
        <d v="2023-08-08T00:00:00"/>
        <d v="2023-09-30T00:00:00"/>
        <d v="2023-05-10T00:00:00"/>
        <d v="2023-09-04T00:00:00"/>
        <d v="2023-01-04T00:00:00"/>
        <d v="2023-01-15T00:00:00"/>
        <d v="2023-11-13T00:00:00"/>
        <d v="2023-05-03T00:00:00"/>
        <d v="2023-06-28T00:00:00"/>
        <d v="2023-11-18T00:00:00"/>
        <d v="2023-03-20T00:00:00"/>
        <d v="2023-01-29T00:00:00"/>
        <d v="2023-06-05T00:00:00"/>
        <d v="2023-01-19T00:00:00"/>
        <d v="2023-05-27T00:00:00"/>
        <d v="2023-01-13T00:00:00"/>
        <d v="2023-05-07T00:00:00"/>
        <d v="2023-08-20T00:00:00"/>
        <d v="2023-06-21T00:00:00"/>
        <d v="2023-10-22T00:00:00"/>
        <d v="2023-01-26T00:00:00"/>
      </sharedItems>
      <fieldGroup par="12"/>
    </cacheField>
    <cacheField name="Region" numFmtId="0">
      <sharedItems count="4">
        <s v="North"/>
        <s v="East"/>
        <s v="South"/>
        <s v="West"/>
      </sharedItems>
    </cacheField>
    <cacheField name="State" numFmtId="0">
      <sharedItems/>
    </cacheField>
    <cacheField name="City" numFmtId="0">
      <sharedItems count="25">
        <s v="Noida"/>
        <s v="Gurugram"/>
        <s v="Kolkata"/>
        <s v="Patna"/>
        <s v="Coimbatore"/>
        <s v="Surat"/>
        <s v="Panaji"/>
        <s v="Bengaluru"/>
        <s v="Mysuru"/>
        <s v="Faridabad"/>
        <s v="Hyderabad"/>
        <s v="Ahmedabad"/>
        <s v="Kochi"/>
        <s v="Chennai"/>
        <s v="Bhubaneswar"/>
        <s v="Mumbai"/>
        <s v="Pune"/>
        <s v="Delhi"/>
        <s v="Ludhiana"/>
        <s v="Udaipur"/>
        <s v="Amritsar"/>
        <s v="Guwahati"/>
        <s v="Jaipur"/>
        <s v="Lucknow"/>
        <s v="Thiruvananthapuram"/>
      </sharedItems>
    </cacheField>
    <cacheField name="Product" numFmtId="0">
      <sharedItems count="15">
        <s v="Fridge"/>
        <s v="Shoes"/>
        <s v="Sandals"/>
        <s v="TV"/>
        <s v="Dress"/>
        <s v="Laptop"/>
        <s v="Mobile"/>
        <s v="Microwave"/>
        <s v="Headphones"/>
        <s v="Shirt"/>
        <s v="Mixer"/>
        <s v="Jacket"/>
        <s v="Sneakers"/>
        <s v="Jeans"/>
        <s v="Washing Machine"/>
      </sharedItems>
    </cacheField>
    <cacheField name="Category" numFmtId="0">
      <sharedItems count="4">
        <s v="Home Appliances"/>
        <s v="Footwear"/>
        <s v="Electronics"/>
        <s v="Apparel"/>
      </sharedItems>
    </cacheField>
    <cacheField name="Quantity" numFmtId="1">
      <sharedItems containsSemiMixedTypes="0" containsString="0" containsNumber="1" containsInteger="1" minValue="1" maxValue="10"/>
    </cacheField>
    <cacheField name="Unit Price" numFmtId="1">
      <sharedItems containsSemiMixedTypes="0" containsString="0" containsNumber="1" containsInteger="1" minValue="648" maxValue="59935"/>
    </cacheField>
    <cacheField name="Total Sales" numFmtId="1">
      <sharedItems containsSemiMixedTypes="0" containsString="0" containsNumber="1" containsInteger="1" minValue="1299" maxValue="598700"/>
    </cacheField>
    <cacheField name="Salesperson" numFmtId="0">
      <sharedItems count="8">
        <s v="Riya"/>
        <s v="Rahul"/>
        <s v="Anita"/>
        <s v="Vikram"/>
        <s v="Sneha"/>
        <s v="Amit"/>
        <s v="Karan"/>
        <s v="Priya"/>
      </sharedItems>
    </cacheField>
    <cacheField name="AllSalesAmt" numFmtId="1">
      <sharedItems containsString="0" containsBlank="1" containsNumber="1" containsInteger="1" minValue="76359233" maxValue="76359233"/>
    </cacheField>
    <cacheField name="Days (Date)" numFmtId="0" databaseField="0">
      <fieldGroup base="0">
        <rangePr groupBy="days" startDate="2023-01-03T00:00:00" endDate="2024-01-01T00:00:00"/>
        <groupItems count="368">
          <s v="&lt;1/3/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Date)" numFmtId="0" databaseField="0">
      <fieldGroup base="0">
        <rangePr groupBy="months" startDate="2023-01-03T00:00:00" endDate="2024-01-01T00:00:00"/>
        <groupItems count="14">
          <s v="&lt;1/3/2023"/>
          <s v="Jan"/>
          <s v="Feb"/>
          <s v="Mar"/>
          <s v="Apr"/>
          <s v="May"/>
          <s v="Jun"/>
          <s v="Jul"/>
          <s v="Aug"/>
          <s v="Sep"/>
          <s v="Oct"/>
          <s v="Nov"/>
          <s v="Dec"/>
          <s v="&gt;1/1/2024"/>
        </groupItems>
      </fieldGroup>
    </cacheField>
  </cacheFields>
  <extLst>
    <ext xmlns:x14="http://schemas.microsoft.com/office/spreadsheetml/2009/9/main" uri="{725AE2AE-9491-48be-B2B4-4EB974FC3084}">
      <x14:pivotCacheDefinition pivotCacheId="9343724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
  <r>
    <x v="0"/>
    <x v="0"/>
    <s v="Uttar Pradesh"/>
    <x v="0"/>
    <x v="0"/>
    <x v="0"/>
    <n v="8"/>
    <n v="51968"/>
    <n v="415744"/>
    <x v="0"/>
    <n v="76359233"/>
  </r>
  <r>
    <x v="1"/>
    <x v="0"/>
    <s v="Haryana"/>
    <x v="1"/>
    <x v="1"/>
    <x v="1"/>
    <n v="3"/>
    <n v="55037"/>
    <n v="165111"/>
    <x v="1"/>
    <m/>
  </r>
  <r>
    <x v="2"/>
    <x v="1"/>
    <s v="West Bengal"/>
    <x v="2"/>
    <x v="2"/>
    <x v="1"/>
    <n v="5"/>
    <n v="30791"/>
    <n v="153955"/>
    <x v="1"/>
    <m/>
  </r>
  <r>
    <x v="3"/>
    <x v="1"/>
    <s v="Bihar"/>
    <x v="3"/>
    <x v="3"/>
    <x v="2"/>
    <n v="5"/>
    <n v="28723"/>
    <n v="143615"/>
    <x v="2"/>
    <m/>
  </r>
  <r>
    <x v="4"/>
    <x v="2"/>
    <s v="Tamil Nadu"/>
    <x v="4"/>
    <x v="1"/>
    <x v="1"/>
    <n v="7"/>
    <n v="23419"/>
    <n v="163933"/>
    <x v="3"/>
    <m/>
  </r>
  <r>
    <x v="5"/>
    <x v="3"/>
    <s v="Gujarat"/>
    <x v="5"/>
    <x v="4"/>
    <x v="3"/>
    <n v="6"/>
    <n v="36400"/>
    <n v="218400"/>
    <x v="1"/>
    <m/>
  </r>
  <r>
    <x v="6"/>
    <x v="1"/>
    <s v="Bihar"/>
    <x v="3"/>
    <x v="5"/>
    <x v="2"/>
    <n v="9"/>
    <n v="35662"/>
    <n v="320958"/>
    <x v="4"/>
    <m/>
  </r>
  <r>
    <x v="7"/>
    <x v="3"/>
    <s v="Goa"/>
    <x v="6"/>
    <x v="0"/>
    <x v="0"/>
    <n v="4"/>
    <n v="40106"/>
    <n v="160424"/>
    <x v="0"/>
    <m/>
  </r>
  <r>
    <x v="8"/>
    <x v="1"/>
    <s v="Bihar"/>
    <x v="3"/>
    <x v="6"/>
    <x v="2"/>
    <n v="5"/>
    <n v="57979"/>
    <n v="289895"/>
    <x v="3"/>
    <m/>
  </r>
  <r>
    <x v="9"/>
    <x v="2"/>
    <s v="Karnataka"/>
    <x v="7"/>
    <x v="1"/>
    <x v="1"/>
    <n v="4"/>
    <n v="21512"/>
    <n v="86048"/>
    <x v="3"/>
    <m/>
  </r>
  <r>
    <x v="10"/>
    <x v="2"/>
    <s v="Tamil Nadu"/>
    <x v="4"/>
    <x v="7"/>
    <x v="0"/>
    <n v="10"/>
    <n v="56382"/>
    <n v="563820"/>
    <x v="2"/>
    <m/>
  </r>
  <r>
    <x v="11"/>
    <x v="2"/>
    <s v="Karnataka"/>
    <x v="7"/>
    <x v="8"/>
    <x v="2"/>
    <n v="3"/>
    <n v="44729"/>
    <n v="134187"/>
    <x v="0"/>
    <m/>
  </r>
  <r>
    <x v="12"/>
    <x v="1"/>
    <s v="West Bengal"/>
    <x v="2"/>
    <x v="9"/>
    <x v="3"/>
    <n v="8"/>
    <n v="42728"/>
    <n v="341824"/>
    <x v="2"/>
    <m/>
  </r>
  <r>
    <x v="13"/>
    <x v="3"/>
    <s v="Gujarat"/>
    <x v="5"/>
    <x v="8"/>
    <x v="2"/>
    <n v="5"/>
    <n v="40832"/>
    <n v="204160"/>
    <x v="5"/>
    <m/>
  </r>
  <r>
    <x v="14"/>
    <x v="2"/>
    <s v="Tamil Nadu"/>
    <x v="4"/>
    <x v="10"/>
    <x v="0"/>
    <n v="10"/>
    <n v="7692"/>
    <n v="76920"/>
    <x v="5"/>
    <m/>
  </r>
  <r>
    <x v="15"/>
    <x v="2"/>
    <s v="Karnataka"/>
    <x v="8"/>
    <x v="5"/>
    <x v="2"/>
    <n v="6"/>
    <n v="13320"/>
    <n v="79920"/>
    <x v="0"/>
    <m/>
  </r>
  <r>
    <x v="16"/>
    <x v="0"/>
    <s v="Haryana"/>
    <x v="9"/>
    <x v="11"/>
    <x v="3"/>
    <n v="10"/>
    <n v="10857"/>
    <n v="108570"/>
    <x v="2"/>
    <m/>
  </r>
  <r>
    <x v="17"/>
    <x v="2"/>
    <s v="Telangana"/>
    <x v="10"/>
    <x v="11"/>
    <x v="3"/>
    <n v="2"/>
    <n v="2763"/>
    <n v="5526"/>
    <x v="3"/>
    <m/>
  </r>
  <r>
    <x v="18"/>
    <x v="3"/>
    <s v="Gujarat"/>
    <x v="11"/>
    <x v="12"/>
    <x v="1"/>
    <n v="6"/>
    <n v="35025"/>
    <n v="210150"/>
    <x v="5"/>
    <m/>
  </r>
  <r>
    <x v="19"/>
    <x v="2"/>
    <s v="Telangana"/>
    <x v="10"/>
    <x v="7"/>
    <x v="0"/>
    <n v="3"/>
    <n v="35186"/>
    <n v="105558"/>
    <x v="2"/>
    <m/>
  </r>
  <r>
    <x v="20"/>
    <x v="2"/>
    <s v="Kerala"/>
    <x v="12"/>
    <x v="10"/>
    <x v="0"/>
    <n v="9"/>
    <n v="18950"/>
    <n v="170550"/>
    <x v="3"/>
    <m/>
  </r>
  <r>
    <x v="21"/>
    <x v="2"/>
    <s v="Tamil Nadu"/>
    <x v="13"/>
    <x v="0"/>
    <x v="0"/>
    <n v="8"/>
    <n v="13435"/>
    <n v="107480"/>
    <x v="0"/>
    <m/>
  </r>
  <r>
    <x v="22"/>
    <x v="1"/>
    <s v="Odisha"/>
    <x v="14"/>
    <x v="12"/>
    <x v="1"/>
    <n v="3"/>
    <n v="41273"/>
    <n v="123819"/>
    <x v="6"/>
    <m/>
  </r>
  <r>
    <x v="23"/>
    <x v="2"/>
    <s v="Kerala"/>
    <x v="12"/>
    <x v="13"/>
    <x v="3"/>
    <n v="9"/>
    <n v="51331"/>
    <n v="461979"/>
    <x v="0"/>
    <m/>
  </r>
  <r>
    <x v="24"/>
    <x v="3"/>
    <s v="Maharashtra"/>
    <x v="15"/>
    <x v="9"/>
    <x v="3"/>
    <n v="4"/>
    <n v="40369"/>
    <n v="161476"/>
    <x v="3"/>
    <m/>
  </r>
  <r>
    <x v="25"/>
    <x v="1"/>
    <s v="Odisha"/>
    <x v="14"/>
    <x v="1"/>
    <x v="1"/>
    <n v="2"/>
    <n v="52208"/>
    <n v="104416"/>
    <x v="0"/>
    <m/>
  </r>
  <r>
    <x v="26"/>
    <x v="0"/>
    <s v="Haryana"/>
    <x v="1"/>
    <x v="10"/>
    <x v="0"/>
    <n v="6"/>
    <n v="43498"/>
    <n v="260988"/>
    <x v="0"/>
    <m/>
  </r>
  <r>
    <x v="27"/>
    <x v="2"/>
    <s v="Karnataka"/>
    <x v="7"/>
    <x v="8"/>
    <x v="2"/>
    <n v="7"/>
    <n v="14875"/>
    <n v="104125"/>
    <x v="2"/>
    <m/>
  </r>
  <r>
    <x v="28"/>
    <x v="3"/>
    <s v="Maharashtra"/>
    <x v="16"/>
    <x v="5"/>
    <x v="2"/>
    <n v="4"/>
    <n v="16029"/>
    <n v="64116"/>
    <x v="1"/>
    <m/>
  </r>
  <r>
    <x v="29"/>
    <x v="2"/>
    <s v="Karnataka"/>
    <x v="8"/>
    <x v="10"/>
    <x v="0"/>
    <n v="3"/>
    <n v="19847"/>
    <n v="59541"/>
    <x v="7"/>
    <m/>
  </r>
  <r>
    <x v="4"/>
    <x v="0"/>
    <s v="Delhi"/>
    <x v="17"/>
    <x v="7"/>
    <x v="0"/>
    <n v="2"/>
    <n v="53042"/>
    <n v="106084"/>
    <x v="4"/>
    <m/>
  </r>
  <r>
    <x v="30"/>
    <x v="0"/>
    <s v="Punjab"/>
    <x v="18"/>
    <x v="0"/>
    <x v="0"/>
    <n v="8"/>
    <n v="25576"/>
    <n v="204608"/>
    <x v="1"/>
    <m/>
  </r>
  <r>
    <x v="31"/>
    <x v="2"/>
    <s v="Karnataka"/>
    <x v="7"/>
    <x v="11"/>
    <x v="3"/>
    <n v="2"/>
    <n v="15295"/>
    <n v="30590"/>
    <x v="6"/>
    <m/>
  </r>
  <r>
    <x v="32"/>
    <x v="3"/>
    <s v="Gujarat"/>
    <x v="5"/>
    <x v="3"/>
    <x v="2"/>
    <n v="9"/>
    <n v="9576"/>
    <n v="86184"/>
    <x v="7"/>
    <m/>
  </r>
  <r>
    <x v="33"/>
    <x v="3"/>
    <s v="Rajasthan"/>
    <x v="19"/>
    <x v="13"/>
    <x v="3"/>
    <n v="8"/>
    <n v="27767"/>
    <n v="222136"/>
    <x v="0"/>
    <m/>
  </r>
  <r>
    <x v="34"/>
    <x v="2"/>
    <s v="Telangana"/>
    <x v="10"/>
    <x v="0"/>
    <x v="0"/>
    <n v="7"/>
    <n v="39479"/>
    <n v="276353"/>
    <x v="0"/>
    <m/>
  </r>
  <r>
    <x v="35"/>
    <x v="1"/>
    <s v="Bihar"/>
    <x v="3"/>
    <x v="6"/>
    <x v="2"/>
    <n v="9"/>
    <n v="49543"/>
    <n v="445887"/>
    <x v="1"/>
    <m/>
  </r>
  <r>
    <x v="36"/>
    <x v="2"/>
    <s v="Tamil Nadu"/>
    <x v="13"/>
    <x v="2"/>
    <x v="1"/>
    <n v="2"/>
    <n v="49566"/>
    <n v="99132"/>
    <x v="4"/>
    <m/>
  </r>
  <r>
    <x v="37"/>
    <x v="0"/>
    <s v="Punjab"/>
    <x v="20"/>
    <x v="7"/>
    <x v="0"/>
    <n v="10"/>
    <n v="22727"/>
    <n v="227270"/>
    <x v="1"/>
    <m/>
  </r>
  <r>
    <x v="38"/>
    <x v="2"/>
    <s v="Kerala"/>
    <x v="12"/>
    <x v="13"/>
    <x v="3"/>
    <n v="4"/>
    <n v="4312"/>
    <n v="17248"/>
    <x v="4"/>
    <m/>
  </r>
  <r>
    <x v="39"/>
    <x v="3"/>
    <s v="Maharashtra"/>
    <x v="16"/>
    <x v="9"/>
    <x v="3"/>
    <n v="1"/>
    <n v="5172"/>
    <n v="5172"/>
    <x v="3"/>
    <m/>
  </r>
  <r>
    <x v="40"/>
    <x v="0"/>
    <s v="Punjab"/>
    <x v="20"/>
    <x v="4"/>
    <x v="3"/>
    <n v="2"/>
    <n v="7808"/>
    <n v="15616"/>
    <x v="3"/>
    <m/>
  </r>
  <r>
    <x v="41"/>
    <x v="1"/>
    <s v="Bihar"/>
    <x v="3"/>
    <x v="4"/>
    <x v="3"/>
    <n v="5"/>
    <n v="25290"/>
    <n v="126450"/>
    <x v="2"/>
    <m/>
  </r>
  <r>
    <x v="42"/>
    <x v="1"/>
    <s v="Bihar"/>
    <x v="3"/>
    <x v="7"/>
    <x v="0"/>
    <n v="3"/>
    <n v="48762"/>
    <n v="146286"/>
    <x v="3"/>
    <m/>
  </r>
  <r>
    <x v="43"/>
    <x v="1"/>
    <s v="Assam"/>
    <x v="21"/>
    <x v="11"/>
    <x v="3"/>
    <n v="7"/>
    <n v="29681"/>
    <n v="207767"/>
    <x v="5"/>
    <m/>
  </r>
  <r>
    <x v="44"/>
    <x v="0"/>
    <s v="Punjab"/>
    <x v="18"/>
    <x v="7"/>
    <x v="0"/>
    <n v="10"/>
    <n v="51721"/>
    <n v="517210"/>
    <x v="0"/>
    <m/>
  </r>
  <r>
    <x v="45"/>
    <x v="3"/>
    <s v="Maharashtra"/>
    <x v="16"/>
    <x v="1"/>
    <x v="1"/>
    <n v="9"/>
    <n v="17789"/>
    <n v="160101"/>
    <x v="6"/>
    <m/>
  </r>
  <r>
    <x v="46"/>
    <x v="1"/>
    <s v="Bihar"/>
    <x v="3"/>
    <x v="0"/>
    <x v="0"/>
    <n v="5"/>
    <n v="17678"/>
    <n v="88390"/>
    <x v="7"/>
    <m/>
  </r>
  <r>
    <x v="47"/>
    <x v="1"/>
    <s v="Assam"/>
    <x v="21"/>
    <x v="11"/>
    <x v="3"/>
    <n v="3"/>
    <n v="11160"/>
    <n v="33480"/>
    <x v="2"/>
    <m/>
  </r>
  <r>
    <x v="48"/>
    <x v="3"/>
    <s v="Maharashtra"/>
    <x v="15"/>
    <x v="13"/>
    <x v="3"/>
    <n v="7"/>
    <n v="15638"/>
    <n v="109466"/>
    <x v="1"/>
    <m/>
  </r>
  <r>
    <x v="49"/>
    <x v="2"/>
    <s v="Tamil Nadu"/>
    <x v="13"/>
    <x v="9"/>
    <x v="3"/>
    <n v="9"/>
    <n v="1835"/>
    <n v="16515"/>
    <x v="4"/>
    <m/>
  </r>
  <r>
    <x v="50"/>
    <x v="1"/>
    <s v="Assam"/>
    <x v="21"/>
    <x v="10"/>
    <x v="0"/>
    <n v="5"/>
    <n v="41064"/>
    <n v="205320"/>
    <x v="0"/>
    <m/>
  </r>
  <r>
    <x v="51"/>
    <x v="1"/>
    <s v="Assam"/>
    <x v="21"/>
    <x v="14"/>
    <x v="0"/>
    <n v="1"/>
    <n v="33416"/>
    <n v="33416"/>
    <x v="1"/>
    <m/>
  </r>
  <r>
    <x v="40"/>
    <x v="1"/>
    <s v="West Bengal"/>
    <x v="2"/>
    <x v="3"/>
    <x v="2"/>
    <n v="1"/>
    <n v="20429"/>
    <n v="20429"/>
    <x v="0"/>
    <m/>
  </r>
  <r>
    <x v="52"/>
    <x v="3"/>
    <s v="Rajasthan"/>
    <x v="22"/>
    <x v="12"/>
    <x v="1"/>
    <n v="6"/>
    <n v="11684"/>
    <n v="70104"/>
    <x v="7"/>
    <m/>
  </r>
  <r>
    <x v="6"/>
    <x v="0"/>
    <s v="Uttar Pradesh"/>
    <x v="23"/>
    <x v="11"/>
    <x v="3"/>
    <n v="8"/>
    <n v="15902"/>
    <n v="127216"/>
    <x v="5"/>
    <m/>
  </r>
  <r>
    <x v="53"/>
    <x v="2"/>
    <s v="Tamil Nadu"/>
    <x v="13"/>
    <x v="3"/>
    <x v="2"/>
    <n v="8"/>
    <n v="47879"/>
    <n v="383032"/>
    <x v="6"/>
    <m/>
  </r>
  <r>
    <x v="54"/>
    <x v="2"/>
    <s v="Tamil Nadu"/>
    <x v="4"/>
    <x v="13"/>
    <x v="3"/>
    <n v="9"/>
    <n v="648"/>
    <n v="5832"/>
    <x v="3"/>
    <m/>
  </r>
  <r>
    <x v="55"/>
    <x v="2"/>
    <s v="Telangana"/>
    <x v="10"/>
    <x v="6"/>
    <x v="2"/>
    <n v="4"/>
    <n v="1550"/>
    <n v="6200"/>
    <x v="4"/>
    <m/>
  </r>
  <r>
    <x v="56"/>
    <x v="3"/>
    <s v="Gujarat"/>
    <x v="5"/>
    <x v="1"/>
    <x v="1"/>
    <n v="7"/>
    <n v="17178"/>
    <n v="120246"/>
    <x v="0"/>
    <m/>
  </r>
  <r>
    <x v="57"/>
    <x v="2"/>
    <s v="Karnataka"/>
    <x v="8"/>
    <x v="10"/>
    <x v="0"/>
    <n v="4"/>
    <n v="35723"/>
    <n v="142892"/>
    <x v="1"/>
    <m/>
  </r>
  <r>
    <x v="33"/>
    <x v="1"/>
    <s v="Assam"/>
    <x v="21"/>
    <x v="4"/>
    <x v="3"/>
    <n v="4"/>
    <n v="22764"/>
    <n v="91056"/>
    <x v="4"/>
    <m/>
  </r>
  <r>
    <x v="58"/>
    <x v="3"/>
    <s v="Gujarat"/>
    <x v="11"/>
    <x v="2"/>
    <x v="1"/>
    <n v="1"/>
    <n v="10439"/>
    <n v="10439"/>
    <x v="4"/>
    <m/>
  </r>
  <r>
    <x v="59"/>
    <x v="1"/>
    <s v="Bihar"/>
    <x v="3"/>
    <x v="5"/>
    <x v="2"/>
    <n v="8"/>
    <n v="2603"/>
    <n v="20824"/>
    <x v="6"/>
    <m/>
  </r>
  <r>
    <x v="60"/>
    <x v="2"/>
    <s v="Kerala"/>
    <x v="12"/>
    <x v="9"/>
    <x v="3"/>
    <n v="5"/>
    <n v="11505"/>
    <n v="57525"/>
    <x v="1"/>
    <m/>
  </r>
  <r>
    <x v="61"/>
    <x v="0"/>
    <s v="Haryana"/>
    <x v="1"/>
    <x v="13"/>
    <x v="3"/>
    <n v="9"/>
    <n v="55893"/>
    <n v="503037"/>
    <x v="1"/>
    <m/>
  </r>
  <r>
    <x v="62"/>
    <x v="3"/>
    <s v="Goa"/>
    <x v="6"/>
    <x v="10"/>
    <x v="0"/>
    <n v="3"/>
    <n v="44460"/>
    <n v="133380"/>
    <x v="0"/>
    <m/>
  </r>
  <r>
    <x v="63"/>
    <x v="3"/>
    <s v="Rajasthan"/>
    <x v="22"/>
    <x v="14"/>
    <x v="0"/>
    <n v="8"/>
    <n v="3578"/>
    <n v="28624"/>
    <x v="3"/>
    <m/>
  </r>
  <r>
    <x v="64"/>
    <x v="1"/>
    <s v="Odisha"/>
    <x v="14"/>
    <x v="3"/>
    <x v="2"/>
    <n v="3"/>
    <n v="28634"/>
    <n v="85902"/>
    <x v="6"/>
    <m/>
  </r>
  <r>
    <x v="65"/>
    <x v="3"/>
    <s v="Gujarat"/>
    <x v="5"/>
    <x v="11"/>
    <x v="3"/>
    <n v="6"/>
    <n v="41365"/>
    <n v="248190"/>
    <x v="7"/>
    <m/>
  </r>
  <r>
    <x v="66"/>
    <x v="0"/>
    <s v="Delhi"/>
    <x v="17"/>
    <x v="11"/>
    <x v="3"/>
    <n v="7"/>
    <n v="6533"/>
    <n v="45731"/>
    <x v="7"/>
    <m/>
  </r>
  <r>
    <x v="67"/>
    <x v="2"/>
    <s v="Kerala"/>
    <x v="24"/>
    <x v="9"/>
    <x v="3"/>
    <n v="3"/>
    <n v="30294"/>
    <n v="90882"/>
    <x v="4"/>
    <m/>
  </r>
  <r>
    <x v="9"/>
    <x v="1"/>
    <s v="Bihar"/>
    <x v="3"/>
    <x v="5"/>
    <x v="2"/>
    <n v="7"/>
    <n v="43490"/>
    <n v="304430"/>
    <x v="7"/>
    <m/>
  </r>
  <r>
    <x v="68"/>
    <x v="1"/>
    <s v="Odisha"/>
    <x v="14"/>
    <x v="8"/>
    <x v="2"/>
    <n v="7"/>
    <n v="4321"/>
    <n v="30247"/>
    <x v="0"/>
    <m/>
  </r>
  <r>
    <x v="69"/>
    <x v="2"/>
    <s v="Tamil Nadu"/>
    <x v="4"/>
    <x v="8"/>
    <x v="2"/>
    <n v="4"/>
    <n v="20341"/>
    <n v="81364"/>
    <x v="6"/>
    <m/>
  </r>
  <r>
    <x v="70"/>
    <x v="1"/>
    <s v="Bihar"/>
    <x v="3"/>
    <x v="11"/>
    <x v="3"/>
    <n v="6"/>
    <n v="12826"/>
    <n v="76956"/>
    <x v="0"/>
    <m/>
  </r>
  <r>
    <x v="71"/>
    <x v="3"/>
    <s v="Goa"/>
    <x v="6"/>
    <x v="8"/>
    <x v="2"/>
    <n v="7"/>
    <n v="45699"/>
    <n v="319893"/>
    <x v="3"/>
    <m/>
  </r>
  <r>
    <x v="64"/>
    <x v="3"/>
    <s v="Maharashtra"/>
    <x v="16"/>
    <x v="2"/>
    <x v="1"/>
    <n v="2"/>
    <n v="45015"/>
    <n v="90030"/>
    <x v="6"/>
    <m/>
  </r>
  <r>
    <x v="18"/>
    <x v="2"/>
    <s v="Telangana"/>
    <x v="10"/>
    <x v="13"/>
    <x v="3"/>
    <n v="9"/>
    <n v="1032"/>
    <n v="9288"/>
    <x v="1"/>
    <m/>
  </r>
  <r>
    <x v="72"/>
    <x v="3"/>
    <s v="Rajasthan"/>
    <x v="22"/>
    <x v="7"/>
    <x v="0"/>
    <n v="7"/>
    <n v="38374"/>
    <n v="268618"/>
    <x v="1"/>
    <m/>
  </r>
  <r>
    <x v="73"/>
    <x v="0"/>
    <s v="Haryana"/>
    <x v="1"/>
    <x v="14"/>
    <x v="0"/>
    <n v="8"/>
    <n v="29647"/>
    <n v="237176"/>
    <x v="1"/>
    <m/>
  </r>
  <r>
    <x v="74"/>
    <x v="0"/>
    <s v="Haryana"/>
    <x v="9"/>
    <x v="13"/>
    <x v="3"/>
    <n v="10"/>
    <n v="38331"/>
    <n v="383310"/>
    <x v="4"/>
    <m/>
  </r>
  <r>
    <x v="75"/>
    <x v="3"/>
    <s v="Rajasthan"/>
    <x v="22"/>
    <x v="12"/>
    <x v="1"/>
    <n v="8"/>
    <n v="2699"/>
    <n v="21592"/>
    <x v="5"/>
    <m/>
  </r>
  <r>
    <x v="76"/>
    <x v="2"/>
    <s v="Telangana"/>
    <x v="10"/>
    <x v="4"/>
    <x v="3"/>
    <n v="5"/>
    <n v="43783"/>
    <n v="218915"/>
    <x v="7"/>
    <m/>
  </r>
  <r>
    <x v="77"/>
    <x v="3"/>
    <s v="Rajasthan"/>
    <x v="19"/>
    <x v="9"/>
    <x v="3"/>
    <n v="7"/>
    <n v="53219"/>
    <n v="372533"/>
    <x v="7"/>
    <m/>
  </r>
  <r>
    <x v="49"/>
    <x v="1"/>
    <s v="West Bengal"/>
    <x v="2"/>
    <x v="2"/>
    <x v="1"/>
    <n v="2"/>
    <n v="1005"/>
    <n v="2010"/>
    <x v="2"/>
    <m/>
  </r>
  <r>
    <x v="18"/>
    <x v="3"/>
    <s v="Gujarat"/>
    <x v="11"/>
    <x v="4"/>
    <x v="3"/>
    <n v="3"/>
    <n v="12780"/>
    <n v="38340"/>
    <x v="6"/>
    <m/>
  </r>
  <r>
    <x v="54"/>
    <x v="1"/>
    <s v="Odisha"/>
    <x v="14"/>
    <x v="11"/>
    <x v="3"/>
    <n v="8"/>
    <n v="30415"/>
    <n v="243320"/>
    <x v="7"/>
    <m/>
  </r>
  <r>
    <x v="78"/>
    <x v="1"/>
    <s v="Bihar"/>
    <x v="3"/>
    <x v="8"/>
    <x v="2"/>
    <n v="2"/>
    <n v="41601"/>
    <n v="83202"/>
    <x v="0"/>
    <m/>
  </r>
  <r>
    <x v="79"/>
    <x v="1"/>
    <s v="Odisha"/>
    <x v="14"/>
    <x v="13"/>
    <x v="3"/>
    <n v="2"/>
    <n v="18134"/>
    <n v="36268"/>
    <x v="4"/>
    <m/>
  </r>
  <r>
    <x v="80"/>
    <x v="3"/>
    <s v="Goa"/>
    <x v="6"/>
    <x v="3"/>
    <x v="2"/>
    <n v="1"/>
    <n v="18112"/>
    <n v="18112"/>
    <x v="3"/>
    <m/>
  </r>
  <r>
    <x v="81"/>
    <x v="1"/>
    <s v="West Bengal"/>
    <x v="2"/>
    <x v="14"/>
    <x v="0"/>
    <n v="9"/>
    <n v="11463"/>
    <n v="103167"/>
    <x v="3"/>
    <m/>
  </r>
  <r>
    <x v="82"/>
    <x v="3"/>
    <s v="Goa"/>
    <x v="6"/>
    <x v="0"/>
    <x v="0"/>
    <n v="7"/>
    <n v="35504"/>
    <n v="248528"/>
    <x v="2"/>
    <m/>
  </r>
  <r>
    <x v="45"/>
    <x v="0"/>
    <s v="Haryana"/>
    <x v="9"/>
    <x v="12"/>
    <x v="1"/>
    <n v="6"/>
    <n v="39494"/>
    <n v="236964"/>
    <x v="6"/>
    <m/>
  </r>
  <r>
    <x v="83"/>
    <x v="0"/>
    <s v="Delhi"/>
    <x v="17"/>
    <x v="5"/>
    <x v="2"/>
    <n v="3"/>
    <n v="7652"/>
    <n v="22956"/>
    <x v="0"/>
    <m/>
  </r>
  <r>
    <x v="84"/>
    <x v="2"/>
    <s v="Tamil Nadu"/>
    <x v="4"/>
    <x v="2"/>
    <x v="1"/>
    <n v="5"/>
    <n v="52449"/>
    <n v="262245"/>
    <x v="5"/>
    <m/>
  </r>
  <r>
    <x v="85"/>
    <x v="0"/>
    <s v="Punjab"/>
    <x v="18"/>
    <x v="4"/>
    <x v="3"/>
    <n v="10"/>
    <n v="28706"/>
    <n v="287060"/>
    <x v="7"/>
    <m/>
  </r>
  <r>
    <x v="28"/>
    <x v="3"/>
    <s v="Maharashtra"/>
    <x v="16"/>
    <x v="13"/>
    <x v="3"/>
    <n v="8"/>
    <n v="18669"/>
    <n v="149352"/>
    <x v="3"/>
    <m/>
  </r>
  <r>
    <x v="75"/>
    <x v="3"/>
    <s v="Rajasthan"/>
    <x v="22"/>
    <x v="5"/>
    <x v="2"/>
    <n v="3"/>
    <n v="49184"/>
    <n v="147552"/>
    <x v="0"/>
    <m/>
  </r>
  <r>
    <x v="86"/>
    <x v="2"/>
    <s v="Tamil Nadu"/>
    <x v="13"/>
    <x v="10"/>
    <x v="0"/>
    <n v="5"/>
    <n v="5611"/>
    <n v="28055"/>
    <x v="6"/>
    <m/>
  </r>
  <r>
    <x v="87"/>
    <x v="3"/>
    <s v="Goa"/>
    <x v="6"/>
    <x v="7"/>
    <x v="0"/>
    <n v="5"/>
    <n v="8618"/>
    <n v="43090"/>
    <x v="6"/>
    <m/>
  </r>
  <r>
    <x v="88"/>
    <x v="3"/>
    <s v="Rajasthan"/>
    <x v="22"/>
    <x v="7"/>
    <x v="0"/>
    <n v="10"/>
    <n v="6720"/>
    <n v="67200"/>
    <x v="0"/>
    <m/>
  </r>
  <r>
    <x v="8"/>
    <x v="3"/>
    <s v="Goa"/>
    <x v="6"/>
    <x v="3"/>
    <x v="2"/>
    <n v="9"/>
    <n v="49846"/>
    <n v="448614"/>
    <x v="7"/>
    <m/>
  </r>
  <r>
    <x v="89"/>
    <x v="2"/>
    <s v="Karnataka"/>
    <x v="7"/>
    <x v="9"/>
    <x v="3"/>
    <n v="8"/>
    <n v="1253"/>
    <n v="10024"/>
    <x v="0"/>
    <m/>
  </r>
  <r>
    <x v="90"/>
    <x v="2"/>
    <s v="Tamil Nadu"/>
    <x v="13"/>
    <x v="0"/>
    <x v="0"/>
    <n v="6"/>
    <n v="50365"/>
    <n v="302190"/>
    <x v="7"/>
    <m/>
  </r>
  <r>
    <x v="91"/>
    <x v="3"/>
    <s v="Rajasthan"/>
    <x v="19"/>
    <x v="9"/>
    <x v="3"/>
    <n v="9"/>
    <n v="15943"/>
    <n v="143487"/>
    <x v="7"/>
    <m/>
  </r>
  <r>
    <x v="92"/>
    <x v="1"/>
    <s v="Odisha"/>
    <x v="14"/>
    <x v="2"/>
    <x v="1"/>
    <n v="8"/>
    <n v="13498"/>
    <n v="107984"/>
    <x v="0"/>
    <m/>
  </r>
  <r>
    <x v="38"/>
    <x v="3"/>
    <s v="Goa"/>
    <x v="6"/>
    <x v="13"/>
    <x v="3"/>
    <n v="8"/>
    <n v="23801"/>
    <n v="190408"/>
    <x v="0"/>
    <m/>
  </r>
  <r>
    <x v="47"/>
    <x v="2"/>
    <s v="Kerala"/>
    <x v="24"/>
    <x v="5"/>
    <x v="2"/>
    <n v="3"/>
    <n v="15691"/>
    <n v="47073"/>
    <x v="0"/>
    <m/>
  </r>
  <r>
    <x v="61"/>
    <x v="3"/>
    <s v="Rajasthan"/>
    <x v="22"/>
    <x v="0"/>
    <x v="0"/>
    <n v="5"/>
    <n v="35850"/>
    <n v="179250"/>
    <x v="6"/>
    <m/>
  </r>
  <r>
    <x v="93"/>
    <x v="1"/>
    <s v="Bihar"/>
    <x v="3"/>
    <x v="12"/>
    <x v="1"/>
    <n v="4"/>
    <n v="59841"/>
    <n v="239364"/>
    <x v="3"/>
    <m/>
  </r>
  <r>
    <x v="94"/>
    <x v="3"/>
    <s v="Goa"/>
    <x v="6"/>
    <x v="9"/>
    <x v="3"/>
    <n v="6"/>
    <n v="41341"/>
    <n v="248046"/>
    <x v="2"/>
    <m/>
  </r>
  <r>
    <x v="95"/>
    <x v="2"/>
    <s v="Tamil Nadu"/>
    <x v="4"/>
    <x v="0"/>
    <x v="0"/>
    <n v="4"/>
    <n v="2729"/>
    <n v="10916"/>
    <x v="3"/>
    <m/>
  </r>
  <r>
    <x v="96"/>
    <x v="3"/>
    <s v="Goa"/>
    <x v="6"/>
    <x v="13"/>
    <x v="3"/>
    <n v="7"/>
    <n v="50893"/>
    <n v="356251"/>
    <x v="2"/>
    <m/>
  </r>
  <r>
    <x v="97"/>
    <x v="2"/>
    <s v="Telangana"/>
    <x v="10"/>
    <x v="14"/>
    <x v="0"/>
    <n v="2"/>
    <n v="45035"/>
    <n v="90070"/>
    <x v="7"/>
    <m/>
  </r>
  <r>
    <x v="98"/>
    <x v="1"/>
    <s v="Bihar"/>
    <x v="3"/>
    <x v="13"/>
    <x v="3"/>
    <n v="2"/>
    <n v="11445"/>
    <n v="22890"/>
    <x v="5"/>
    <m/>
  </r>
  <r>
    <x v="99"/>
    <x v="0"/>
    <s v="Haryana"/>
    <x v="9"/>
    <x v="1"/>
    <x v="1"/>
    <n v="2"/>
    <n v="55943"/>
    <n v="111886"/>
    <x v="7"/>
    <m/>
  </r>
  <r>
    <x v="100"/>
    <x v="0"/>
    <s v="Punjab"/>
    <x v="20"/>
    <x v="10"/>
    <x v="0"/>
    <n v="1"/>
    <n v="58532"/>
    <n v="58532"/>
    <x v="6"/>
    <m/>
  </r>
  <r>
    <x v="101"/>
    <x v="3"/>
    <s v="Gujarat"/>
    <x v="5"/>
    <x v="4"/>
    <x v="3"/>
    <n v="5"/>
    <n v="32929"/>
    <n v="164645"/>
    <x v="1"/>
    <m/>
  </r>
  <r>
    <x v="52"/>
    <x v="2"/>
    <s v="Tamil Nadu"/>
    <x v="4"/>
    <x v="2"/>
    <x v="1"/>
    <n v="2"/>
    <n v="24381"/>
    <n v="48762"/>
    <x v="0"/>
    <m/>
  </r>
  <r>
    <x v="102"/>
    <x v="2"/>
    <s v="Karnataka"/>
    <x v="7"/>
    <x v="7"/>
    <x v="0"/>
    <n v="5"/>
    <n v="18839"/>
    <n v="94195"/>
    <x v="4"/>
    <m/>
  </r>
  <r>
    <x v="75"/>
    <x v="3"/>
    <s v="Gujarat"/>
    <x v="5"/>
    <x v="7"/>
    <x v="0"/>
    <n v="6"/>
    <n v="15072"/>
    <n v="90432"/>
    <x v="6"/>
    <m/>
  </r>
  <r>
    <x v="103"/>
    <x v="2"/>
    <s v="Telangana"/>
    <x v="10"/>
    <x v="0"/>
    <x v="0"/>
    <n v="6"/>
    <n v="36333"/>
    <n v="217998"/>
    <x v="4"/>
    <m/>
  </r>
  <r>
    <x v="104"/>
    <x v="1"/>
    <s v="Assam"/>
    <x v="21"/>
    <x v="6"/>
    <x v="2"/>
    <n v="1"/>
    <n v="31738"/>
    <n v="31738"/>
    <x v="1"/>
    <m/>
  </r>
  <r>
    <x v="105"/>
    <x v="3"/>
    <s v="Maharashtra"/>
    <x v="15"/>
    <x v="2"/>
    <x v="1"/>
    <n v="7"/>
    <n v="18224"/>
    <n v="127568"/>
    <x v="3"/>
    <m/>
  </r>
  <r>
    <x v="5"/>
    <x v="3"/>
    <s v="Gujarat"/>
    <x v="5"/>
    <x v="13"/>
    <x v="3"/>
    <n v="9"/>
    <n v="54276"/>
    <n v="488484"/>
    <x v="2"/>
    <m/>
  </r>
  <r>
    <x v="106"/>
    <x v="0"/>
    <s v="Delhi"/>
    <x v="17"/>
    <x v="14"/>
    <x v="0"/>
    <n v="3"/>
    <n v="18766"/>
    <n v="56298"/>
    <x v="3"/>
    <m/>
  </r>
  <r>
    <x v="107"/>
    <x v="2"/>
    <s v="Tamil Nadu"/>
    <x v="4"/>
    <x v="6"/>
    <x v="2"/>
    <n v="3"/>
    <n v="32699"/>
    <n v="98097"/>
    <x v="3"/>
    <m/>
  </r>
  <r>
    <x v="108"/>
    <x v="2"/>
    <s v="Tamil Nadu"/>
    <x v="4"/>
    <x v="1"/>
    <x v="1"/>
    <n v="4"/>
    <n v="53489"/>
    <n v="213956"/>
    <x v="3"/>
    <m/>
  </r>
  <r>
    <x v="109"/>
    <x v="3"/>
    <s v="Gujarat"/>
    <x v="5"/>
    <x v="0"/>
    <x v="0"/>
    <n v="5"/>
    <n v="2611"/>
    <n v="13055"/>
    <x v="4"/>
    <m/>
  </r>
  <r>
    <x v="110"/>
    <x v="3"/>
    <s v="Rajasthan"/>
    <x v="22"/>
    <x v="11"/>
    <x v="3"/>
    <n v="3"/>
    <n v="19568"/>
    <n v="58704"/>
    <x v="2"/>
    <m/>
  </r>
  <r>
    <x v="111"/>
    <x v="3"/>
    <s v="Gujarat"/>
    <x v="11"/>
    <x v="0"/>
    <x v="0"/>
    <n v="8"/>
    <n v="31559"/>
    <n v="252472"/>
    <x v="5"/>
    <m/>
  </r>
  <r>
    <x v="87"/>
    <x v="0"/>
    <s v="Haryana"/>
    <x v="1"/>
    <x v="8"/>
    <x v="2"/>
    <n v="6"/>
    <n v="58706"/>
    <n v="352236"/>
    <x v="7"/>
    <m/>
  </r>
  <r>
    <x v="7"/>
    <x v="0"/>
    <s v="Punjab"/>
    <x v="20"/>
    <x v="0"/>
    <x v="0"/>
    <n v="8"/>
    <n v="16412"/>
    <n v="131296"/>
    <x v="3"/>
    <m/>
  </r>
  <r>
    <x v="112"/>
    <x v="2"/>
    <s v="Kerala"/>
    <x v="24"/>
    <x v="3"/>
    <x v="2"/>
    <n v="1"/>
    <n v="53014"/>
    <n v="53014"/>
    <x v="6"/>
    <m/>
  </r>
  <r>
    <x v="113"/>
    <x v="0"/>
    <s v="Uttar Pradesh"/>
    <x v="23"/>
    <x v="13"/>
    <x v="3"/>
    <n v="10"/>
    <n v="11724"/>
    <n v="117240"/>
    <x v="7"/>
    <m/>
  </r>
  <r>
    <x v="114"/>
    <x v="2"/>
    <s v="Tamil Nadu"/>
    <x v="4"/>
    <x v="11"/>
    <x v="3"/>
    <n v="10"/>
    <n v="46963"/>
    <n v="469630"/>
    <x v="5"/>
    <m/>
  </r>
  <r>
    <x v="115"/>
    <x v="1"/>
    <s v="Assam"/>
    <x v="21"/>
    <x v="0"/>
    <x v="0"/>
    <n v="2"/>
    <n v="14993"/>
    <n v="29986"/>
    <x v="7"/>
    <m/>
  </r>
  <r>
    <x v="42"/>
    <x v="2"/>
    <s v="Kerala"/>
    <x v="12"/>
    <x v="11"/>
    <x v="3"/>
    <n v="8"/>
    <n v="53416"/>
    <n v="427328"/>
    <x v="3"/>
    <m/>
  </r>
  <r>
    <x v="116"/>
    <x v="1"/>
    <s v="Assam"/>
    <x v="21"/>
    <x v="6"/>
    <x v="2"/>
    <n v="3"/>
    <n v="715"/>
    <n v="2145"/>
    <x v="1"/>
    <m/>
  </r>
  <r>
    <x v="68"/>
    <x v="2"/>
    <s v="Kerala"/>
    <x v="24"/>
    <x v="7"/>
    <x v="0"/>
    <n v="8"/>
    <n v="27657"/>
    <n v="221256"/>
    <x v="7"/>
    <m/>
  </r>
  <r>
    <x v="28"/>
    <x v="0"/>
    <s v="Delhi"/>
    <x v="17"/>
    <x v="1"/>
    <x v="1"/>
    <n v="8"/>
    <n v="22658"/>
    <n v="181264"/>
    <x v="7"/>
    <m/>
  </r>
  <r>
    <x v="110"/>
    <x v="0"/>
    <s v="Uttar Pradesh"/>
    <x v="0"/>
    <x v="2"/>
    <x v="1"/>
    <n v="2"/>
    <n v="49450"/>
    <n v="98900"/>
    <x v="2"/>
    <m/>
  </r>
  <r>
    <x v="117"/>
    <x v="1"/>
    <s v="West Bengal"/>
    <x v="2"/>
    <x v="11"/>
    <x v="3"/>
    <n v="10"/>
    <n v="58101"/>
    <n v="581010"/>
    <x v="4"/>
    <m/>
  </r>
  <r>
    <x v="118"/>
    <x v="1"/>
    <s v="West Bengal"/>
    <x v="2"/>
    <x v="3"/>
    <x v="2"/>
    <n v="6"/>
    <n v="18546"/>
    <n v="111276"/>
    <x v="2"/>
    <m/>
  </r>
  <r>
    <x v="119"/>
    <x v="0"/>
    <s v="Punjab"/>
    <x v="20"/>
    <x v="12"/>
    <x v="1"/>
    <n v="3"/>
    <n v="54071"/>
    <n v="162213"/>
    <x v="2"/>
    <m/>
  </r>
  <r>
    <x v="120"/>
    <x v="0"/>
    <s v="Delhi"/>
    <x v="17"/>
    <x v="10"/>
    <x v="0"/>
    <n v="7"/>
    <n v="56089"/>
    <n v="392623"/>
    <x v="6"/>
    <m/>
  </r>
  <r>
    <x v="121"/>
    <x v="0"/>
    <s v="Uttar Pradesh"/>
    <x v="0"/>
    <x v="4"/>
    <x v="3"/>
    <n v="4"/>
    <n v="34130"/>
    <n v="136520"/>
    <x v="2"/>
    <m/>
  </r>
  <r>
    <x v="69"/>
    <x v="1"/>
    <s v="Odisha"/>
    <x v="14"/>
    <x v="0"/>
    <x v="0"/>
    <n v="1"/>
    <n v="53937"/>
    <n v="53937"/>
    <x v="4"/>
    <m/>
  </r>
  <r>
    <x v="33"/>
    <x v="3"/>
    <s v="Maharashtra"/>
    <x v="15"/>
    <x v="6"/>
    <x v="2"/>
    <n v="1"/>
    <n v="20217"/>
    <n v="20217"/>
    <x v="7"/>
    <m/>
  </r>
  <r>
    <x v="93"/>
    <x v="0"/>
    <s v="Punjab"/>
    <x v="18"/>
    <x v="10"/>
    <x v="0"/>
    <n v="8"/>
    <n v="37511"/>
    <n v="300088"/>
    <x v="6"/>
    <m/>
  </r>
  <r>
    <x v="120"/>
    <x v="1"/>
    <s v="West Bengal"/>
    <x v="2"/>
    <x v="13"/>
    <x v="3"/>
    <n v="4"/>
    <n v="37279"/>
    <n v="149116"/>
    <x v="2"/>
    <m/>
  </r>
  <r>
    <x v="122"/>
    <x v="3"/>
    <s v="Goa"/>
    <x v="6"/>
    <x v="1"/>
    <x v="1"/>
    <n v="7"/>
    <n v="17144"/>
    <n v="120008"/>
    <x v="1"/>
    <m/>
  </r>
  <r>
    <x v="123"/>
    <x v="0"/>
    <s v="Haryana"/>
    <x v="1"/>
    <x v="1"/>
    <x v="1"/>
    <n v="6"/>
    <n v="38908"/>
    <n v="233448"/>
    <x v="7"/>
    <m/>
  </r>
  <r>
    <x v="122"/>
    <x v="2"/>
    <s v="Kerala"/>
    <x v="24"/>
    <x v="6"/>
    <x v="2"/>
    <n v="9"/>
    <n v="20435"/>
    <n v="183915"/>
    <x v="6"/>
    <m/>
  </r>
  <r>
    <x v="124"/>
    <x v="2"/>
    <s v="Karnataka"/>
    <x v="7"/>
    <x v="5"/>
    <x v="2"/>
    <n v="6"/>
    <n v="34460"/>
    <n v="206760"/>
    <x v="5"/>
    <m/>
  </r>
  <r>
    <x v="125"/>
    <x v="3"/>
    <s v="Rajasthan"/>
    <x v="22"/>
    <x v="13"/>
    <x v="3"/>
    <n v="4"/>
    <n v="59446"/>
    <n v="237784"/>
    <x v="1"/>
    <m/>
  </r>
  <r>
    <x v="126"/>
    <x v="2"/>
    <s v="Tamil Nadu"/>
    <x v="4"/>
    <x v="13"/>
    <x v="3"/>
    <n v="10"/>
    <n v="27352"/>
    <n v="273520"/>
    <x v="7"/>
    <m/>
  </r>
  <r>
    <x v="127"/>
    <x v="1"/>
    <s v="West Bengal"/>
    <x v="2"/>
    <x v="4"/>
    <x v="3"/>
    <n v="9"/>
    <n v="2730"/>
    <n v="24570"/>
    <x v="1"/>
    <m/>
  </r>
  <r>
    <x v="12"/>
    <x v="1"/>
    <s v="West Bengal"/>
    <x v="2"/>
    <x v="13"/>
    <x v="3"/>
    <n v="1"/>
    <n v="37291"/>
    <n v="37291"/>
    <x v="5"/>
    <m/>
  </r>
  <r>
    <x v="128"/>
    <x v="2"/>
    <s v="Karnataka"/>
    <x v="8"/>
    <x v="4"/>
    <x v="3"/>
    <n v="3"/>
    <n v="14865"/>
    <n v="44595"/>
    <x v="4"/>
    <m/>
  </r>
  <r>
    <x v="129"/>
    <x v="0"/>
    <s v="Delhi"/>
    <x v="17"/>
    <x v="5"/>
    <x v="2"/>
    <n v="9"/>
    <n v="3234"/>
    <n v="29106"/>
    <x v="6"/>
    <m/>
  </r>
  <r>
    <x v="130"/>
    <x v="2"/>
    <s v="Telangana"/>
    <x v="10"/>
    <x v="9"/>
    <x v="3"/>
    <n v="3"/>
    <n v="32044"/>
    <n v="96132"/>
    <x v="1"/>
    <m/>
  </r>
  <r>
    <x v="131"/>
    <x v="0"/>
    <s v="Delhi"/>
    <x v="17"/>
    <x v="1"/>
    <x v="1"/>
    <n v="3"/>
    <n v="18870"/>
    <n v="56610"/>
    <x v="7"/>
    <m/>
  </r>
  <r>
    <x v="132"/>
    <x v="2"/>
    <s v="Tamil Nadu"/>
    <x v="4"/>
    <x v="6"/>
    <x v="2"/>
    <n v="2"/>
    <n v="54284"/>
    <n v="108568"/>
    <x v="1"/>
    <m/>
  </r>
  <r>
    <x v="133"/>
    <x v="0"/>
    <s v="Punjab"/>
    <x v="20"/>
    <x v="13"/>
    <x v="3"/>
    <n v="2"/>
    <n v="15789"/>
    <n v="31578"/>
    <x v="0"/>
    <m/>
  </r>
  <r>
    <x v="134"/>
    <x v="3"/>
    <s v="Gujarat"/>
    <x v="5"/>
    <x v="2"/>
    <x v="1"/>
    <n v="3"/>
    <n v="59771"/>
    <n v="179313"/>
    <x v="7"/>
    <m/>
  </r>
  <r>
    <x v="135"/>
    <x v="0"/>
    <s v="Uttar Pradesh"/>
    <x v="23"/>
    <x v="14"/>
    <x v="0"/>
    <n v="10"/>
    <n v="5379"/>
    <n v="53790"/>
    <x v="7"/>
    <m/>
  </r>
  <r>
    <x v="57"/>
    <x v="2"/>
    <s v="Kerala"/>
    <x v="24"/>
    <x v="1"/>
    <x v="1"/>
    <n v="4"/>
    <n v="16257"/>
    <n v="65028"/>
    <x v="0"/>
    <m/>
  </r>
  <r>
    <x v="26"/>
    <x v="2"/>
    <s v="Kerala"/>
    <x v="12"/>
    <x v="0"/>
    <x v="0"/>
    <n v="7"/>
    <n v="4972"/>
    <n v="34804"/>
    <x v="5"/>
    <m/>
  </r>
  <r>
    <x v="136"/>
    <x v="1"/>
    <s v="Odisha"/>
    <x v="14"/>
    <x v="2"/>
    <x v="1"/>
    <n v="5"/>
    <n v="651"/>
    <n v="3255"/>
    <x v="2"/>
    <m/>
  </r>
  <r>
    <x v="79"/>
    <x v="2"/>
    <s v="Telangana"/>
    <x v="10"/>
    <x v="1"/>
    <x v="1"/>
    <n v="4"/>
    <n v="33793"/>
    <n v="135172"/>
    <x v="0"/>
    <m/>
  </r>
  <r>
    <x v="130"/>
    <x v="3"/>
    <s v="Maharashtra"/>
    <x v="15"/>
    <x v="2"/>
    <x v="1"/>
    <n v="4"/>
    <n v="52527"/>
    <n v="210108"/>
    <x v="5"/>
    <m/>
  </r>
  <r>
    <x v="137"/>
    <x v="1"/>
    <s v="Odisha"/>
    <x v="14"/>
    <x v="6"/>
    <x v="2"/>
    <n v="2"/>
    <n v="26350"/>
    <n v="52700"/>
    <x v="3"/>
    <m/>
  </r>
  <r>
    <x v="120"/>
    <x v="2"/>
    <s v="Telangana"/>
    <x v="10"/>
    <x v="1"/>
    <x v="1"/>
    <n v="7"/>
    <n v="24971"/>
    <n v="174797"/>
    <x v="2"/>
    <m/>
  </r>
  <r>
    <x v="45"/>
    <x v="1"/>
    <s v="Bihar"/>
    <x v="3"/>
    <x v="3"/>
    <x v="2"/>
    <n v="10"/>
    <n v="22591"/>
    <n v="225910"/>
    <x v="4"/>
    <m/>
  </r>
  <r>
    <x v="83"/>
    <x v="2"/>
    <s v="Telangana"/>
    <x v="10"/>
    <x v="9"/>
    <x v="3"/>
    <n v="5"/>
    <n v="18831"/>
    <n v="94155"/>
    <x v="2"/>
    <m/>
  </r>
  <r>
    <x v="138"/>
    <x v="0"/>
    <s v="Haryana"/>
    <x v="9"/>
    <x v="7"/>
    <x v="0"/>
    <n v="5"/>
    <n v="44175"/>
    <n v="220875"/>
    <x v="6"/>
    <m/>
  </r>
  <r>
    <x v="139"/>
    <x v="1"/>
    <s v="Odisha"/>
    <x v="14"/>
    <x v="2"/>
    <x v="1"/>
    <n v="10"/>
    <n v="7351"/>
    <n v="73510"/>
    <x v="4"/>
    <m/>
  </r>
  <r>
    <x v="89"/>
    <x v="0"/>
    <s v="Delhi"/>
    <x v="17"/>
    <x v="3"/>
    <x v="2"/>
    <n v="6"/>
    <n v="1752"/>
    <n v="10512"/>
    <x v="0"/>
    <m/>
  </r>
  <r>
    <x v="43"/>
    <x v="3"/>
    <s v="Maharashtra"/>
    <x v="16"/>
    <x v="9"/>
    <x v="3"/>
    <n v="1"/>
    <n v="24879"/>
    <n v="24879"/>
    <x v="7"/>
    <m/>
  </r>
  <r>
    <x v="140"/>
    <x v="0"/>
    <s v="Delhi"/>
    <x v="17"/>
    <x v="0"/>
    <x v="0"/>
    <n v="3"/>
    <n v="42275"/>
    <n v="126825"/>
    <x v="6"/>
    <m/>
  </r>
  <r>
    <x v="141"/>
    <x v="1"/>
    <s v="Bihar"/>
    <x v="3"/>
    <x v="9"/>
    <x v="3"/>
    <n v="8"/>
    <n v="13887"/>
    <n v="111096"/>
    <x v="1"/>
    <m/>
  </r>
  <r>
    <x v="142"/>
    <x v="0"/>
    <s v="Uttar Pradesh"/>
    <x v="23"/>
    <x v="8"/>
    <x v="2"/>
    <n v="9"/>
    <n v="20904"/>
    <n v="188136"/>
    <x v="3"/>
    <m/>
  </r>
  <r>
    <x v="143"/>
    <x v="3"/>
    <s v="Maharashtra"/>
    <x v="16"/>
    <x v="9"/>
    <x v="3"/>
    <n v="10"/>
    <n v="16292"/>
    <n v="162920"/>
    <x v="2"/>
    <m/>
  </r>
  <r>
    <x v="144"/>
    <x v="3"/>
    <s v="Maharashtra"/>
    <x v="15"/>
    <x v="7"/>
    <x v="0"/>
    <n v="3"/>
    <n v="50177"/>
    <n v="150531"/>
    <x v="6"/>
    <m/>
  </r>
  <r>
    <x v="145"/>
    <x v="2"/>
    <s v="Tamil Nadu"/>
    <x v="4"/>
    <x v="12"/>
    <x v="1"/>
    <n v="5"/>
    <n v="40639"/>
    <n v="203195"/>
    <x v="0"/>
    <m/>
  </r>
  <r>
    <x v="146"/>
    <x v="2"/>
    <s v="Telangana"/>
    <x v="10"/>
    <x v="2"/>
    <x v="1"/>
    <n v="10"/>
    <n v="28829"/>
    <n v="288290"/>
    <x v="6"/>
    <m/>
  </r>
  <r>
    <x v="147"/>
    <x v="0"/>
    <s v="Haryana"/>
    <x v="9"/>
    <x v="6"/>
    <x v="2"/>
    <n v="6"/>
    <n v="28344"/>
    <n v="170064"/>
    <x v="1"/>
    <m/>
  </r>
  <r>
    <x v="114"/>
    <x v="0"/>
    <s v="Delhi"/>
    <x v="17"/>
    <x v="13"/>
    <x v="3"/>
    <n v="4"/>
    <n v="44734"/>
    <n v="178936"/>
    <x v="7"/>
    <m/>
  </r>
  <r>
    <x v="148"/>
    <x v="1"/>
    <s v="Odisha"/>
    <x v="14"/>
    <x v="4"/>
    <x v="3"/>
    <n v="6"/>
    <n v="50289"/>
    <n v="301734"/>
    <x v="0"/>
    <m/>
  </r>
  <r>
    <x v="24"/>
    <x v="0"/>
    <s v="Punjab"/>
    <x v="20"/>
    <x v="1"/>
    <x v="1"/>
    <n v="4"/>
    <n v="59935"/>
    <n v="239740"/>
    <x v="1"/>
    <m/>
  </r>
  <r>
    <x v="149"/>
    <x v="0"/>
    <s v="Delhi"/>
    <x v="17"/>
    <x v="2"/>
    <x v="1"/>
    <n v="10"/>
    <n v="58645"/>
    <n v="586450"/>
    <x v="3"/>
    <m/>
  </r>
  <r>
    <x v="150"/>
    <x v="1"/>
    <s v="Assam"/>
    <x v="21"/>
    <x v="1"/>
    <x v="1"/>
    <n v="1"/>
    <n v="26968"/>
    <n v="26968"/>
    <x v="1"/>
    <m/>
  </r>
  <r>
    <x v="151"/>
    <x v="0"/>
    <s v="Delhi"/>
    <x v="17"/>
    <x v="4"/>
    <x v="3"/>
    <n v="3"/>
    <n v="5156"/>
    <n v="15468"/>
    <x v="6"/>
    <m/>
  </r>
  <r>
    <x v="26"/>
    <x v="3"/>
    <s v="Goa"/>
    <x v="6"/>
    <x v="14"/>
    <x v="0"/>
    <n v="6"/>
    <n v="33621"/>
    <n v="201726"/>
    <x v="7"/>
    <m/>
  </r>
  <r>
    <x v="91"/>
    <x v="2"/>
    <s v="Telangana"/>
    <x v="10"/>
    <x v="2"/>
    <x v="1"/>
    <n v="8"/>
    <n v="40238"/>
    <n v="321904"/>
    <x v="1"/>
    <m/>
  </r>
  <r>
    <x v="152"/>
    <x v="2"/>
    <s v="Telangana"/>
    <x v="10"/>
    <x v="7"/>
    <x v="0"/>
    <n v="7"/>
    <n v="29805"/>
    <n v="208635"/>
    <x v="3"/>
    <m/>
  </r>
  <r>
    <x v="138"/>
    <x v="1"/>
    <s v="Assam"/>
    <x v="21"/>
    <x v="1"/>
    <x v="1"/>
    <n v="9"/>
    <n v="19864"/>
    <n v="178776"/>
    <x v="1"/>
    <m/>
  </r>
  <r>
    <x v="153"/>
    <x v="0"/>
    <s v="Punjab"/>
    <x v="20"/>
    <x v="12"/>
    <x v="1"/>
    <n v="4"/>
    <n v="12420"/>
    <n v="49680"/>
    <x v="4"/>
    <m/>
  </r>
  <r>
    <x v="77"/>
    <x v="1"/>
    <s v="Assam"/>
    <x v="21"/>
    <x v="3"/>
    <x v="2"/>
    <n v="8"/>
    <n v="32218"/>
    <n v="257744"/>
    <x v="2"/>
    <m/>
  </r>
  <r>
    <x v="64"/>
    <x v="3"/>
    <s v="Goa"/>
    <x v="6"/>
    <x v="6"/>
    <x v="2"/>
    <n v="2"/>
    <n v="52067"/>
    <n v="104134"/>
    <x v="5"/>
    <m/>
  </r>
  <r>
    <x v="154"/>
    <x v="0"/>
    <s v="Delhi"/>
    <x v="17"/>
    <x v="4"/>
    <x v="3"/>
    <n v="3"/>
    <n v="24048"/>
    <n v="72144"/>
    <x v="0"/>
    <m/>
  </r>
  <r>
    <x v="155"/>
    <x v="2"/>
    <s v="Kerala"/>
    <x v="12"/>
    <x v="11"/>
    <x v="3"/>
    <n v="6"/>
    <n v="40659"/>
    <n v="243954"/>
    <x v="4"/>
    <m/>
  </r>
  <r>
    <x v="156"/>
    <x v="1"/>
    <s v="Assam"/>
    <x v="21"/>
    <x v="10"/>
    <x v="0"/>
    <n v="3"/>
    <n v="48421"/>
    <n v="145263"/>
    <x v="0"/>
    <m/>
  </r>
  <r>
    <x v="157"/>
    <x v="3"/>
    <s v="Goa"/>
    <x v="6"/>
    <x v="0"/>
    <x v="0"/>
    <n v="4"/>
    <n v="16216"/>
    <n v="64864"/>
    <x v="2"/>
    <m/>
  </r>
  <r>
    <x v="17"/>
    <x v="1"/>
    <s v="Odisha"/>
    <x v="14"/>
    <x v="11"/>
    <x v="3"/>
    <n v="1"/>
    <n v="14312"/>
    <n v="14312"/>
    <x v="4"/>
    <m/>
  </r>
  <r>
    <x v="105"/>
    <x v="2"/>
    <s v="Telangana"/>
    <x v="10"/>
    <x v="11"/>
    <x v="3"/>
    <n v="10"/>
    <n v="25646"/>
    <n v="256460"/>
    <x v="6"/>
    <m/>
  </r>
  <r>
    <x v="158"/>
    <x v="3"/>
    <s v="Maharashtra"/>
    <x v="15"/>
    <x v="7"/>
    <x v="0"/>
    <n v="1"/>
    <n v="26323"/>
    <n v="26323"/>
    <x v="2"/>
    <m/>
  </r>
  <r>
    <x v="159"/>
    <x v="2"/>
    <s v="Kerala"/>
    <x v="12"/>
    <x v="1"/>
    <x v="1"/>
    <n v="5"/>
    <n v="13146"/>
    <n v="65730"/>
    <x v="3"/>
    <m/>
  </r>
  <r>
    <x v="39"/>
    <x v="3"/>
    <s v="Maharashtra"/>
    <x v="16"/>
    <x v="11"/>
    <x v="3"/>
    <n v="7"/>
    <n v="4346"/>
    <n v="30422"/>
    <x v="7"/>
    <m/>
  </r>
  <r>
    <x v="2"/>
    <x v="1"/>
    <s v="Odisha"/>
    <x v="14"/>
    <x v="6"/>
    <x v="2"/>
    <n v="3"/>
    <n v="8788"/>
    <n v="26364"/>
    <x v="4"/>
    <m/>
  </r>
  <r>
    <x v="149"/>
    <x v="0"/>
    <s v="Delhi"/>
    <x v="17"/>
    <x v="13"/>
    <x v="3"/>
    <n v="3"/>
    <n v="39634"/>
    <n v="118902"/>
    <x v="4"/>
    <m/>
  </r>
  <r>
    <x v="63"/>
    <x v="1"/>
    <s v="Odisha"/>
    <x v="14"/>
    <x v="6"/>
    <x v="2"/>
    <n v="10"/>
    <n v="20176"/>
    <n v="201760"/>
    <x v="7"/>
    <m/>
  </r>
  <r>
    <x v="160"/>
    <x v="0"/>
    <s v="Haryana"/>
    <x v="9"/>
    <x v="8"/>
    <x v="2"/>
    <n v="6"/>
    <n v="47890"/>
    <n v="287340"/>
    <x v="2"/>
    <m/>
  </r>
  <r>
    <x v="161"/>
    <x v="2"/>
    <s v="Karnataka"/>
    <x v="8"/>
    <x v="3"/>
    <x v="2"/>
    <n v="9"/>
    <n v="25286"/>
    <n v="227574"/>
    <x v="0"/>
    <m/>
  </r>
  <r>
    <x v="162"/>
    <x v="3"/>
    <s v="Maharashtra"/>
    <x v="15"/>
    <x v="0"/>
    <x v="0"/>
    <n v="5"/>
    <n v="32312"/>
    <n v="161560"/>
    <x v="5"/>
    <m/>
  </r>
  <r>
    <x v="163"/>
    <x v="2"/>
    <s v="Telangana"/>
    <x v="10"/>
    <x v="1"/>
    <x v="1"/>
    <n v="2"/>
    <n v="57951"/>
    <n v="115902"/>
    <x v="6"/>
    <m/>
  </r>
  <r>
    <x v="164"/>
    <x v="0"/>
    <s v="Delhi"/>
    <x v="17"/>
    <x v="8"/>
    <x v="2"/>
    <n v="2"/>
    <n v="33063"/>
    <n v="66126"/>
    <x v="0"/>
    <m/>
  </r>
  <r>
    <x v="57"/>
    <x v="3"/>
    <s v="Goa"/>
    <x v="6"/>
    <x v="11"/>
    <x v="3"/>
    <n v="5"/>
    <n v="50304"/>
    <n v="251520"/>
    <x v="5"/>
    <m/>
  </r>
  <r>
    <x v="165"/>
    <x v="1"/>
    <s v="Odisha"/>
    <x v="14"/>
    <x v="6"/>
    <x v="2"/>
    <n v="1"/>
    <n v="50440"/>
    <n v="50440"/>
    <x v="6"/>
    <m/>
  </r>
  <r>
    <x v="166"/>
    <x v="1"/>
    <s v="Bihar"/>
    <x v="3"/>
    <x v="11"/>
    <x v="3"/>
    <n v="8"/>
    <n v="4582"/>
    <n v="36656"/>
    <x v="5"/>
    <m/>
  </r>
  <r>
    <x v="167"/>
    <x v="1"/>
    <s v="West Bengal"/>
    <x v="2"/>
    <x v="14"/>
    <x v="0"/>
    <n v="5"/>
    <n v="15203"/>
    <n v="76015"/>
    <x v="5"/>
    <m/>
  </r>
  <r>
    <x v="168"/>
    <x v="1"/>
    <s v="Assam"/>
    <x v="21"/>
    <x v="12"/>
    <x v="1"/>
    <n v="6"/>
    <n v="13458"/>
    <n v="80748"/>
    <x v="3"/>
    <m/>
  </r>
  <r>
    <x v="169"/>
    <x v="0"/>
    <s v="Delhi"/>
    <x v="17"/>
    <x v="1"/>
    <x v="1"/>
    <n v="9"/>
    <n v="56951"/>
    <n v="512559"/>
    <x v="2"/>
    <m/>
  </r>
  <r>
    <x v="170"/>
    <x v="0"/>
    <s v="Haryana"/>
    <x v="1"/>
    <x v="12"/>
    <x v="1"/>
    <n v="10"/>
    <n v="57408"/>
    <n v="574080"/>
    <x v="1"/>
    <m/>
  </r>
  <r>
    <x v="22"/>
    <x v="3"/>
    <s v="Maharashtra"/>
    <x v="15"/>
    <x v="2"/>
    <x v="1"/>
    <n v="10"/>
    <n v="16281"/>
    <n v="162810"/>
    <x v="0"/>
    <m/>
  </r>
  <r>
    <x v="156"/>
    <x v="0"/>
    <s v="Haryana"/>
    <x v="1"/>
    <x v="7"/>
    <x v="0"/>
    <n v="9"/>
    <n v="10457"/>
    <n v="94113"/>
    <x v="6"/>
    <m/>
  </r>
  <r>
    <x v="171"/>
    <x v="1"/>
    <s v="West Bengal"/>
    <x v="2"/>
    <x v="6"/>
    <x v="2"/>
    <n v="1"/>
    <n v="15053"/>
    <n v="15053"/>
    <x v="0"/>
    <m/>
  </r>
  <r>
    <x v="41"/>
    <x v="0"/>
    <s v="Uttar Pradesh"/>
    <x v="23"/>
    <x v="4"/>
    <x v="3"/>
    <n v="1"/>
    <n v="8411"/>
    <n v="8411"/>
    <x v="5"/>
    <m/>
  </r>
  <r>
    <x v="172"/>
    <x v="1"/>
    <s v="West Bengal"/>
    <x v="2"/>
    <x v="10"/>
    <x v="0"/>
    <n v="9"/>
    <n v="53757"/>
    <n v="483813"/>
    <x v="7"/>
    <m/>
  </r>
  <r>
    <x v="84"/>
    <x v="0"/>
    <s v="Uttar Pradesh"/>
    <x v="23"/>
    <x v="8"/>
    <x v="2"/>
    <n v="8"/>
    <n v="1071"/>
    <n v="8568"/>
    <x v="3"/>
    <m/>
  </r>
  <r>
    <x v="173"/>
    <x v="3"/>
    <s v="Maharashtra"/>
    <x v="16"/>
    <x v="1"/>
    <x v="1"/>
    <n v="6"/>
    <n v="29093"/>
    <n v="174558"/>
    <x v="6"/>
    <m/>
  </r>
  <r>
    <x v="174"/>
    <x v="1"/>
    <s v="Assam"/>
    <x v="21"/>
    <x v="4"/>
    <x v="3"/>
    <n v="5"/>
    <n v="26188"/>
    <n v="130940"/>
    <x v="2"/>
    <m/>
  </r>
  <r>
    <x v="37"/>
    <x v="2"/>
    <s v="Kerala"/>
    <x v="24"/>
    <x v="11"/>
    <x v="3"/>
    <n v="5"/>
    <n v="42295"/>
    <n v="211475"/>
    <x v="3"/>
    <m/>
  </r>
  <r>
    <x v="175"/>
    <x v="3"/>
    <s v="Maharashtra"/>
    <x v="15"/>
    <x v="12"/>
    <x v="1"/>
    <n v="6"/>
    <n v="52071"/>
    <n v="312426"/>
    <x v="7"/>
    <m/>
  </r>
  <r>
    <x v="176"/>
    <x v="3"/>
    <s v="Goa"/>
    <x v="6"/>
    <x v="10"/>
    <x v="0"/>
    <n v="2"/>
    <n v="23581"/>
    <n v="47162"/>
    <x v="5"/>
    <m/>
  </r>
  <r>
    <x v="177"/>
    <x v="0"/>
    <s v="Haryana"/>
    <x v="9"/>
    <x v="2"/>
    <x v="1"/>
    <n v="7"/>
    <n v="25084"/>
    <n v="175588"/>
    <x v="6"/>
    <m/>
  </r>
  <r>
    <x v="178"/>
    <x v="0"/>
    <s v="Punjab"/>
    <x v="18"/>
    <x v="14"/>
    <x v="0"/>
    <n v="2"/>
    <n v="51450"/>
    <n v="102900"/>
    <x v="0"/>
    <m/>
  </r>
  <r>
    <x v="99"/>
    <x v="2"/>
    <s v="Telangana"/>
    <x v="10"/>
    <x v="0"/>
    <x v="0"/>
    <n v="2"/>
    <n v="59006"/>
    <n v="118012"/>
    <x v="5"/>
    <m/>
  </r>
  <r>
    <x v="179"/>
    <x v="1"/>
    <s v="Bihar"/>
    <x v="3"/>
    <x v="8"/>
    <x v="2"/>
    <n v="1"/>
    <n v="18502"/>
    <n v="18502"/>
    <x v="5"/>
    <m/>
  </r>
  <r>
    <x v="24"/>
    <x v="2"/>
    <s v="Karnataka"/>
    <x v="8"/>
    <x v="10"/>
    <x v="0"/>
    <n v="1"/>
    <n v="13909"/>
    <n v="13909"/>
    <x v="1"/>
    <m/>
  </r>
  <r>
    <x v="104"/>
    <x v="2"/>
    <s v="Telangana"/>
    <x v="10"/>
    <x v="12"/>
    <x v="1"/>
    <n v="10"/>
    <n v="11246"/>
    <n v="112460"/>
    <x v="0"/>
    <m/>
  </r>
  <r>
    <x v="180"/>
    <x v="2"/>
    <s v="Telangana"/>
    <x v="10"/>
    <x v="0"/>
    <x v="0"/>
    <n v="2"/>
    <n v="33427"/>
    <n v="66854"/>
    <x v="6"/>
    <m/>
  </r>
  <r>
    <x v="181"/>
    <x v="0"/>
    <s v="Uttar Pradesh"/>
    <x v="0"/>
    <x v="8"/>
    <x v="2"/>
    <n v="9"/>
    <n v="11924"/>
    <n v="107316"/>
    <x v="6"/>
    <m/>
  </r>
  <r>
    <x v="105"/>
    <x v="3"/>
    <s v="Maharashtra"/>
    <x v="16"/>
    <x v="5"/>
    <x v="2"/>
    <n v="7"/>
    <n v="35609"/>
    <n v="249263"/>
    <x v="1"/>
    <m/>
  </r>
  <r>
    <x v="182"/>
    <x v="3"/>
    <s v="Maharashtra"/>
    <x v="16"/>
    <x v="13"/>
    <x v="3"/>
    <n v="2"/>
    <n v="48585"/>
    <n v="97170"/>
    <x v="5"/>
    <m/>
  </r>
  <r>
    <x v="30"/>
    <x v="2"/>
    <s v="Karnataka"/>
    <x v="7"/>
    <x v="10"/>
    <x v="0"/>
    <n v="3"/>
    <n v="30725"/>
    <n v="92175"/>
    <x v="7"/>
    <m/>
  </r>
  <r>
    <x v="103"/>
    <x v="1"/>
    <s v="Odisha"/>
    <x v="14"/>
    <x v="10"/>
    <x v="0"/>
    <n v="6"/>
    <n v="55538"/>
    <n v="333228"/>
    <x v="4"/>
    <m/>
  </r>
  <r>
    <x v="5"/>
    <x v="0"/>
    <s v="Uttar Pradesh"/>
    <x v="23"/>
    <x v="11"/>
    <x v="3"/>
    <n v="8"/>
    <n v="32475"/>
    <n v="259800"/>
    <x v="3"/>
    <m/>
  </r>
  <r>
    <x v="183"/>
    <x v="0"/>
    <s v="Punjab"/>
    <x v="18"/>
    <x v="9"/>
    <x v="3"/>
    <n v="4"/>
    <n v="30901"/>
    <n v="123604"/>
    <x v="4"/>
    <m/>
  </r>
  <r>
    <x v="155"/>
    <x v="1"/>
    <s v="Assam"/>
    <x v="21"/>
    <x v="12"/>
    <x v="1"/>
    <n v="2"/>
    <n v="45909"/>
    <n v="91818"/>
    <x v="3"/>
    <m/>
  </r>
  <r>
    <x v="54"/>
    <x v="1"/>
    <s v="Assam"/>
    <x v="21"/>
    <x v="1"/>
    <x v="1"/>
    <n v="8"/>
    <n v="38967"/>
    <n v="311736"/>
    <x v="6"/>
    <m/>
  </r>
  <r>
    <x v="178"/>
    <x v="2"/>
    <s v="Tamil Nadu"/>
    <x v="4"/>
    <x v="14"/>
    <x v="0"/>
    <n v="9"/>
    <n v="1825"/>
    <n v="16425"/>
    <x v="0"/>
    <m/>
  </r>
  <r>
    <x v="64"/>
    <x v="2"/>
    <s v="Karnataka"/>
    <x v="7"/>
    <x v="2"/>
    <x v="1"/>
    <n v="7"/>
    <n v="12556"/>
    <n v="87892"/>
    <x v="7"/>
    <m/>
  </r>
  <r>
    <x v="89"/>
    <x v="1"/>
    <s v="Bihar"/>
    <x v="3"/>
    <x v="14"/>
    <x v="0"/>
    <n v="6"/>
    <n v="53455"/>
    <n v="320730"/>
    <x v="6"/>
    <m/>
  </r>
  <r>
    <x v="184"/>
    <x v="1"/>
    <s v="Odisha"/>
    <x v="14"/>
    <x v="8"/>
    <x v="2"/>
    <n v="5"/>
    <n v="39955"/>
    <n v="199775"/>
    <x v="6"/>
    <m/>
  </r>
  <r>
    <x v="185"/>
    <x v="1"/>
    <s v="West Bengal"/>
    <x v="2"/>
    <x v="13"/>
    <x v="3"/>
    <n v="4"/>
    <n v="1411"/>
    <n v="5644"/>
    <x v="2"/>
    <m/>
  </r>
  <r>
    <x v="125"/>
    <x v="3"/>
    <s v="Goa"/>
    <x v="6"/>
    <x v="5"/>
    <x v="2"/>
    <n v="4"/>
    <n v="35739"/>
    <n v="142956"/>
    <x v="4"/>
    <m/>
  </r>
  <r>
    <x v="186"/>
    <x v="3"/>
    <s v="Maharashtra"/>
    <x v="16"/>
    <x v="4"/>
    <x v="3"/>
    <n v="3"/>
    <n v="35514"/>
    <n v="106542"/>
    <x v="5"/>
    <m/>
  </r>
  <r>
    <x v="101"/>
    <x v="3"/>
    <s v="Gujarat"/>
    <x v="11"/>
    <x v="11"/>
    <x v="3"/>
    <n v="9"/>
    <n v="16550"/>
    <n v="148950"/>
    <x v="6"/>
    <m/>
  </r>
  <r>
    <x v="168"/>
    <x v="3"/>
    <s v="Maharashtra"/>
    <x v="16"/>
    <x v="11"/>
    <x v="3"/>
    <n v="4"/>
    <n v="1105"/>
    <n v="4420"/>
    <x v="3"/>
    <m/>
  </r>
  <r>
    <x v="187"/>
    <x v="2"/>
    <s v="Tamil Nadu"/>
    <x v="13"/>
    <x v="14"/>
    <x v="0"/>
    <n v="1"/>
    <n v="3270"/>
    <n v="3270"/>
    <x v="6"/>
    <m/>
  </r>
  <r>
    <x v="161"/>
    <x v="0"/>
    <s v="Punjab"/>
    <x v="20"/>
    <x v="11"/>
    <x v="3"/>
    <n v="1"/>
    <n v="15781"/>
    <n v="15781"/>
    <x v="5"/>
    <m/>
  </r>
  <r>
    <x v="188"/>
    <x v="1"/>
    <s v="Assam"/>
    <x v="21"/>
    <x v="0"/>
    <x v="0"/>
    <n v="3"/>
    <n v="20781"/>
    <n v="62343"/>
    <x v="0"/>
    <m/>
  </r>
  <r>
    <x v="102"/>
    <x v="1"/>
    <s v="Bihar"/>
    <x v="3"/>
    <x v="8"/>
    <x v="2"/>
    <n v="2"/>
    <n v="50425"/>
    <n v="100850"/>
    <x v="0"/>
    <m/>
  </r>
  <r>
    <x v="139"/>
    <x v="3"/>
    <s v="Gujarat"/>
    <x v="11"/>
    <x v="9"/>
    <x v="3"/>
    <n v="2"/>
    <n v="31966"/>
    <n v="63932"/>
    <x v="4"/>
    <m/>
  </r>
  <r>
    <x v="11"/>
    <x v="1"/>
    <s v="Bihar"/>
    <x v="3"/>
    <x v="4"/>
    <x v="3"/>
    <n v="8"/>
    <n v="38200"/>
    <n v="305600"/>
    <x v="5"/>
    <m/>
  </r>
  <r>
    <x v="102"/>
    <x v="1"/>
    <s v="Bihar"/>
    <x v="3"/>
    <x v="1"/>
    <x v="1"/>
    <n v="3"/>
    <n v="56962"/>
    <n v="170886"/>
    <x v="0"/>
    <m/>
  </r>
  <r>
    <x v="157"/>
    <x v="1"/>
    <s v="West Bengal"/>
    <x v="2"/>
    <x v="12"/>
    <x v="1"/>
    <n v="6"/>
    <n v="59256"/>
    <n v="355536"/>
    <x v="7"/>
    <m/>
  </r>
  <r>
    <x v="189"/>
    <x v="3"/>
    <s v="Maharashtra"/>
    <x v="16"/>
    <x v="7"/>
    <x v="0"/>
    <n v="4"/>
    <n v="51465"/>
    <n v="205860"/>
    <x v="4"/>
    <m/>
  </r>
  <r>
    <x v="190"/>
    <x v="1"/>
    <s v="Odisha"/>
    <x v="14"/>
    <x v="10"/>
    <x v="0"/>
    <n v="1"/>
    <n v="31773"/>
    <n v="31773"/>
    <x v="7"/>
    <m/>
  </r>
  <r>
    <x v="191"/>
    <x v="3"/>
    <s v="Maharashtra"/>
    <x v="15"/>
    <x v="5"/>
    <x v="2"/>
    <n v="7"/>
    <n v="32009"/>
    <n v="224063"/>
    <x v="0"/>
    <m/>
  </r>
  <r>
    <x v="162"/>
    <x v="1"/>
    <s v="West Bengal"/>
    <x v="2"/>
    <x v="8"/>
    <x v="2"/>
    <n v="3"/>
    <n v="58430"/>
    <n v="175290"/>
    <x v="7"/>
    <m/>
  </r>
  <r>
    <x v="65"/>
    <x v="1"/>
    <s v="Odisha"/>
    <x v="14"/>
    <x v="0"/>
    <x v="0"/>
    <n v="3"/>
    <n v="1946"/>
    <n v="5838"/>
    <x v="7"/>
    <m/>
  </r>
  <r>
    <x v="182"/>
    <x v="1"/>
    <s v="Odisha"/>
    <x v="14"/>
    <x v="3"/>
    <x v="2"/>
    <n v="5"/>
    <n v="36876"/>
    <n v="184380"/>
    <x v="5"/>
    <m/>
  </r>
  <r>
    <x v="192"/>
    <x v="0"/>
    <s v="Uttar Pradesh"/>
    <x v="23"/>
    <x v="5"/>
    <x v="2"/>
    <n v="7"/>
    <n v="5564"/>
    <n v="38948"/>
    <x v="7"/>
    <m/>
  </r>
  <r>
    <x v="193"/>
    <x v="1"/>
    <s v="Bihar"/>
    <x v="3"/>
    <x v="3"/>
    <x v="2"/>
    <n v="2"/>
    <n v="58036"/>
    <n v="116072"/>
    <x v="6"/>
    <m/>
  </r>
  <r>
    <x v="120"/>
    <x v="3"/>
    <s v="Goa"/>
    <x v="6"/>
    <x v="0"/>
    <x v="0"/>
    <n v="10"/>
    <n v="8356"/>
    <n v="83560"/>
    <x v="5"/>
    <m/>
  </r>
  <r>
    <x v="194"/>
    <x v="0"/>
    <s v="Haryana"/>
    <x v="9"/>
    <x v="13"/>
    <x v="3"/>
    <n v="3"/>
    <n v="54932"/>
    <n v="164796"/>
    <x v="0"/>
    <m/>
  </r>
  <r>
    <x v="187"/>
    <x v="0"/>
    <s v="Haryana"/>
    <x v="9"/>
    <x v="2"/>
    <x v="1"/>
    <n v="10"/>
    <n v="34590"/>
    <n v="345900"/>
    <x v="4"/>
    <m/>
  </r>
  <r>
    <x v="195"/>
    <x v="1"/>
    <s v="Assam"/>
    <x v="21"/>
    <x v="2"/>
    <x v="1"/>
    <n v="6"/>
    <n v="23102"/>
    <n v="138612"/>
    <x v="6"/>
    <m/>
  </r>
  <r>
    <x v="135"/>
    <x v="3"/>
    <s v="Gujarat"/>
    <x v="5"/>
    <x v="0"/>
    <x v="0"/>
    <n v="8"/>
    <n v="55822"/>
    <n v="446576"/>
    <x v="6"/>
    <m/>
  </r>
  <r>
    <x v="27"/>
    <x v="2"/>
    <s v="Telangana"/>
    <x v="10"/>
    <x v="13"/>
    <x v="3"/>
    <n v="6"/>
    <n v="53012"/>
    <n v="318072"/>
    <x v="0"/>
    <m/>
  </r>
  <r>
    <x v="136"/>
    <x v="3"/>
    <s v="Maharashtra"/>
    <x v="15"/>
    <x v="13"/>
    <x v="3"/>
    <n v="2"/>
    <n v="5940"/>
    <n v="11880"/>
    <x v="3"/>
    <m/>
  </r>
  <r>
    <x v="53"/>
    <x v="1"/>
    <s v="Bihar"/>
    <x v="3"/>
    <x v="5"/>
    <x v="2"/>
    <n v="2"/>
    <n v="1378"/>
    <n v="2756"/>
    <x v="1"/>
    <m/>
  </r>
  <r>
    <x v="175"/>
    <x v="0"/>
    <s v="Uttar Pradesh"/>
    <x v="0"/>
    <x v="5"/>
    <x v="2"/>
    <n v="8"/>
    <n v="5136"/>
    <n v="41088"/>
    <x v="1"/>
    <m/>
  </r>
  <r>
    <x v="196"/>
    <x v="1"/>
    <s v="West Bengal"/>
    <x v="2"/>
    <x v="6"/>
    <x v="2"/>
    <n v="4"/>
    <n v="23610"/>
    <n v="94440"/>
    <x v="2"/>
    <m/>
  </r>
  <r>
    <x v="197"/>
    <x v="2"/>
    <s v="Kerala"/>
    <x v="24"/>
    <x v="10"/>
    <x v="0"/>
    <n v="10"/>
    <n v="15731"/>
    <n v="157310"/>
    <x v="1"/>
    <m/>
  </r>
  <r>
    <x v="198"/>
    <x v="2"/>
    <s v="Karnataka"/>
    <x v="7"/>
    <x v="8"/>
    <x v="2"/>
    <n v="3"/>
    <n v="40469"/>
    <n v="121407"/>
    <x v="5"/>
    <m/>
  </r>
  <r>
    <x v="199"/>
    <x v="0"/>
    <s v="Delhi"/>
    <x v="17"/>
    <x v="1"/>
    <x v="1"/>
    <n v="2"/>
    <n v="36679"/>
    <n v="73358"/>
    <x v="4"/>
    <m/>
  </r>
  <r>
    <x v="197"/>
    <x v="0"/>
    <s v="Delhi"/>
    <x v="17"/>
    <x v="9"/>
    <x v="3"/>
    <n v="3"/>
    <n v="11107"/>
    <n v="33321"/>
    <x v="7"/>
    <m/>
  </r>
  <r>
    <x v="172"/>
    <x v="2"/>
    <s v="Kerala"/>
    <x v="12"/>
    <x v="12"/>
    <x v="1"/>
    <n v="9"/>
    <n v="48409"/>
    <n v="435681"/>
    <x v="7"/>
    <m/>
  </r>
  <r>
    <x v="200"/>
    <x v="2"/>
    <s v="Telangana"/>
    <x v="10"/>
    <x v="6"/>
    <x v="2"/>
    <n v="3"/>
    <n v="39232"/>
    <n v="117696"/>
    <x v="6"/>
    <m/>
  </r>
  <r>
    <x v="201"/>
    <x v="2"/>
    <s v="Tamil Nadu"/>
    <x v="13"/>
    <x v="6"/>
    <x v="2"/>
    <n v="8"/>
    <n v="19444"/>
    <n v="155552"/>
    <x v="0"/>
    <m/>
  </r>
  <r>
    <x v="15"/>
    <x v="0"/>
    <s v="Punjab"/>
    <x v="18"/>
    <x v="10"/>
    <x v="0"/>
    <n v="4"/>
    <n v="21336"/>
    <n v="85344"/>
    <x v="4"/>
    <m/>
  </r>
  <r>
    <x v="120"/>
    <x v="3"/>
    <s v="Maharashtra"/>
    <x v="15"/>
    <x v="9"/>
    <x v="3"/>
    <n v="4"/>
    <n v="57654"/>
    <n v="230616"/>
    <x v="0"/>
    <m/>
  </r>
  <r>
    <x v="202"/>
    <x v="3"/>
    <s v="Maharashtra"/>
    <x v="16"/>
    <x v="8"/>
    <x v="2"/>
    <n v="8"/>
    <n v="8819"/>
    <n v="70552"/>
    <x v="0"/>
    <m/>
  </r>
  <r>
    <x v="15"/>
    <x v="2"/>
    <s v="Kerala"/>
    <x v="24"/>
    <x v="3"/>
    <x v="2"/>
    <n v="5"/>
    <n v="52837"/>
    <n v="264185"/>
    <x v="7"/>
    <m/>
  </r>
  <r>
    <x v="142"/>
    <x v="3"/>
    <s v="Gujarat"/>
    <x v="5"/>
    <x v="0"/>
    <x v="0"/>
    <n v="8"/>
    <n v="39507"/>
    <n v="316056"/>
    <x v="2"/>
    <m/>
  </r>
  <r>
    <x v="79"/>
    <x v="0"/>
    <s v="Punjab"/>
    <x v="20"/>
    <x v="14"/>
    <x v="0"/>
    <n v="10"/>
    <n v="59870"/>
    <n v="598700"/>
    <x v="6"/>
    <m/>
  </r>
  <r>
    <x v="18"/>
    <x v="0"/>
    <s v="Punjab"/>
    <x v="20"/>
    <x v="7"/>
    <x v="0"/>
    <n v="3"/>
    <n v="13891"/>
    <n v="41673"/>
    <x v="1"/>
    <m/>
  </r>
  <r>
    <x v="107"/>
    <x v="0"/>
    <s v="Uttar Pradesh"/>
    <x v="23"/>
    <x v="9"/>
    <x v="3"/>
    <n v="3"/>
    <n v="4843"/>
    <n v="14529"/>
    <x v="5"/>
    <m/>
  </r>
  <r>
    <x v="203"/>
    <x v="0"/>
    <s v="Uttar Pradesh"/>
    <x v="23"/>
    <x v="14"/>
    <x v="0"/>
    <n v="5"/>
    <n v="50442"/>
    <n v="252210"/>
    <x v="1"/>
    <m/>
  </r>
  <r>
    <x v="204"/>
    <x v="1"/>
    <s v="Bihar"/>
    <x v="3"/>
    <x v="1"/>
    <x v="1"/>
    <n v="5"/>
    <n v="25513"/>
    <n v="127565"/>
    <x v="6"/>
    <m/>
  </r>
  <r>
    <x v="205"/>
    <x v="2"/>
    <s v="Tamil Nadu"/>
    <x v="13"/>
    <x v="3"/>
    <x v="2"/>
    <n v="3"/>
    <n v="33798"/>
    <n v="101394"/>
    <x v="2"/>
    <m/>
  </r>
  <r>
    <x v="205"/>
    <x v="0"/>
    <s v="Uttar Pradesh"/>
    <x v="0"/>
    <x v="5"/>
    <x v="2"/>
    <n v="1"/>
    <n v="33181"/>
    <n v="33181"/>
    <x v="5"/>
    <m/>
  </r>
  <r>
    <x v="206"/>
    <x v="1"/>
    <s v="West Bengal"/>
    <x v="2"/>
    <x v="8"/>
    <x v="2"/>
    <n v="4"/>
    <n v="26084"/>
    <n v="104336"/>
    <x v="6"/>
    <m/>
  </r>
  <r>
    <x v="53"/>
    <x v="3"/>
    <s v="Rajasthan"/>
    <x v="22"/>
    <x v="1"/>
    <x v="1"/>
    <n v="8"/>
    <n v="47912"/>
    <n v="383296"/>
    <x v="2"/>
    <m/>
  </r>
  <r>
    <x v="123"/>
    <x v="2"/>
    <s v="Kerala"/>
    <x v="24"/>
    <x v="8"/>
    <x v="2"/>
    <n v="1"/>
    <n v="21141"/>
    <n v="21141"/>
    <x v="4"/>
    <m/>
  </r>
  <r>
    <x v="207"/>
    <x v="3"/>
    <s v="Goa"/>
    <x v="6"/>
    <x v="8"/>
    <x v="2"/>
    <n v="5"/>
    <n v="14446"/>
    <n v="72230"/>
    <x v="2"/>
    <m/>
  </r>
  <r>
    <x v="208"/>
    <x v="3"/>
    <s v="Maharashtra"/>
    <x v="15"/>
    <x v="5"/>
    <x v="2"/>
    <n v="9"/>
    <n v="20939"/>
    <n v="188451"/>
    <x v="2"/>
    <m/>
  </r>
  <r>
    <x v="207"/>
    <x v="2"/>
    <s v="Kerala"/>
    <x v="12"/>
    <x v="5"/>
    <x v="2"/>
    <n v="8"/>
    <n v="16117"/>
    <n v="128936"/>
    <x v="2"/>
    <m/>
  </r>
  <r>
    <x v="209"/>
    <x v="3"/>
    <s v="Rajasthan"/>
    <x v="19"/>
    <x v="14"/>
    <x v="0"/>
    <n v="4"/>
    <n v="23795"/>
    <n v="95180"/>
    <x v="2"/>
    <m/>
  </r>
  <r>
    <x v="210"/>
    <x v="0"/>
    <s v="Uttar Pradesh"/>
    <x v="23"/>
    <x v="12"/>
    <x v="1"/>
    <n v="2"/>
    <n v="28878"/>
    <n v="57756"/>
    <x v="6"/>
    <m/>
  </r>
  <r>
    <x v="171"/>
    <x v="3"/>
    <s v="Goa"/>
    <x v="6"/>
    <x v="4"/>
    <x v="3"/>
    <n v="6"/>
    <n v="48255"/>
    <n v="289530"/>
    <x v="5"/>
    <m/>
  </r>
  <r>
    <x v="211"/>
    <x v="3"/>
    <s v="Goa"/>
    <x v="6"/>
    <x v="9"/>
    <x v="3"/>
    <n v="9"/>
    <n v="43897"/>
    <n v="395073"/>
    <x v="6"/>
    <m/>
  </r>
  <r>
    <x v="212"/>
    <x v="0"/>
    <s v="Punjab"/>
    <x v="20"/>
    <x v="2"/>
    <x v="1"/>
    <n v="7"/>
    <n v="28914"/>
    <n v="202398"/>
    <x v="4"/>
    <m/>
  </r>
  <r>
    <x v="76"/>
    <x v="2"/>
    <s v="Telangana"/>
    <x v="10"/>
    <x v="11"/>
    <x v="3"/>
    <n v="2"/>
    <n v="40777"/>
    <n v="81554"/>
    <x v="7"/>
    <m/>
  </r>
  <r>
    <x v="212"/>
    <x v="1"/>
    <s v="Assam"/>
    <x v="21"/>
    <x v="11"/>
    <x v="3"/>
    <n v="8"/>
    <n v="55117"/>
    <n v="440936"/>
    <x v="3"/>
    <m/>
  </r>
  <r>
    <x v="213"/>
    <x v="2"/>
    <s v="Kerala"/>
    <x v="12"/>
    <x v="10"/>
    <x v="0"/>
    <n v="7"/>
    <n v="14948"/>
    <n v="104636"/>
    <x v="7"/>
    <m/>
  </r>
  <r>
    <x v="62"/>
    <x v="2"/>
    <s v="Kerala"/>
    <x v="12"/>
    <x v="13"/>
    <x v="3"/>
    <n v="4"/>
    <n v="31471"/>
    <n v="125884"/>
    <x v="1"/>
    <m/>
  </r>
  <r>
    <x v="169"/>
    <x v="3"/>
    <s v="Rajasthan"/>
    <x v="22"/>
    <x v="10"/>
    <x v="0"/>
    <n v="1"/>
    <n v="21142"/>
    <n v="21142"/>
    <x v="2"/>
    <m/>
  </r>
  <r>
    <x v="214"/>
    <x v="0"/>
    <s v="Haryana"/>
    <x v="9"/>
    <x v="2"/>
    <x v="1"/>
    <n v="5"/>
    <n v="55714"/>
    <n v="278570"/>
    <x v="1"/>
    <m/>
  </r>
  <r>
    <x v="215"/>
    <x v="2"/>
    <s v="Karnataka"/>
    <x v="8"/>
    <x v="7"/>
    <x v="0"/>
    <n v="3"/>
    <n v="6209"/>
    <n v="18627"/>
    <x v="2"/>
    <m/>
  </r>
  <r>
    <x v="78"/>
    <x v="1"/>
    <s v="Assam"/>
    <x v="21"/>
    <x v="0"/>
    <x v="0"/>
    <n v="6"/>
    <n v="39958"/>
    <n v="239748"/>
    <x v="3"/>
    <m/>
  </r>
  <r>
    <x v="216"/>
    <x v="0"/>
    <s v="Delhi"/>
    <x v="17"/>
    <x v="5"/>
    <x v="2"/>
    <n v="4"/>
    <n v="50581"/>
    <n v="202324"/>
    <x v="1"/>
    <m/>
  </r>
  <r>
    <x v="217"/>
    <x v="1"/>
    <s v="Assam"/>
    <x v="21"/>
    <x v="9"/>
    <x v="3"/>
    <n v="3"/>
    <n v="48504"/>
    <n v="145512"/>
    <x v="6"/>
    <m/>
  </r>
  <r>
    <x v="218"/>
    <x v="1"/>
    <s v="West Bengal"/>
    <x v="2"/>
    <x v="14"/>
    <x v="0"/>
    <n v="4"/>
    <n v="35953"/>
    <n v="143812"/>
    <x v="2"/>
    <m/>
  </r>
  <r>
    <x v="219"/>
    <x v="3"/>
    <s v="Maharashtra"/>
    <x v="15"/>
    <x v="2"/>
    <x v="1"/>
    <n v="6"/>
    <n v="28874"/>
    <n v="173244"/>
    <x v="1"/>
    <m/>
  </r>
  <r>
    <x v="166"/>
    <x v="2"/>
    <s v="Kerala"/>
    <x v="12"/>
    <x v="14"/>
    <x v="0"/>
    <n v="8"/>
    <n v="26065"/>
    <n v="208520"/>
    <x v="6"/>
    <m/>
  </r>
  <r>
    <x v="220"/>
    <x v="2"/>
    <s v="Telangana"/>
    <x v="10"/>
    <x v="2"/>
    <x v="1"/>
    <n v="1"/>
    <n v="28150"/>
    <n v="28150"/>
    <x v="7"/>
    <m/>
  </r>
  <r>
    <x v="221"/>
    <x v="2"/>
    <s v="Telangana"/>
    <x v="10"/>
    <x v="9"/>
    <x v="3"/>
    <n v="9"/>
    <n v="30649"/>
    <n v="275841"/>
    <x v="5"/>
    <m/>
  </r>
  <r>
    <x v="138"/>
    <x v="2"/>
    <s v="Telangana"/>
    <x v="10"/>
    <x v="12"/>
    <x v="1"/>
    <n v="1"/>
    <n v="5442"/>
    <n v="5442"/>
    <x v="0"/>
    <m/>
  </r>
  <r>
    <x v="107"/>
    <x v="1"/>
    <s v="Odisha"/>
    <x v="14"/>
    <x v="12"/>
    <x v="1"/>
    <n v="4"/>
    <n v="4667"/>
    <n v="18668"/>
    <x v="4"/>
    <m/>
  </r>
  <r>
    <x v="185"/>
    <x v="2"/>
    <s v="Kerala"/>
    <x v="24"/>
    <x v="7"/>
    <x v="0"/>
    <n v="5"/>
    <n v="51240"/>
    <n v="256200"/>
    <x v="1"/>
    <m/>
  </r>
  <r>
    <x v="222"/>
    <x v="3"/>
    <s v="Goa"/>
    <x v="6"/>
    <x v="2"/>
    <x v="1"/>
    <n v="4"/>
    <n v="43157"/>
    <n v="172628"/>
    <x v="5"/>
    <m/>
  </r>
  <r>
    <x v="200"/>
    <x v="2"/>
    <s v="Kerala"/>
    <x v="12"/>
    <x v="7"/>
    <x v="0"/>
    <n v="3"/>
    <n v="10958"/>
    <n v="32874"/>
    <x v="4"/>
    <m/>
  </r>
  <r>
    <x v="167"/>
    <x v="1"/>
    <s v="Assam"/>
    <x v="21"/>
    <x v="1"/>
    <x v="1"/>
    <n v="7"/>
    <n v="49666"/>
    <n v="347662"/>
    <x v="5"/>
    <m/>
  </r>
  <r>
    <x v="23"/>
    <x v="3"/>
    <s v="Maharashtra"/>
    <x v="15"/>
    <x v="2"/>
    <x v="1"/>
    <n v="1"/>
    <n v="35832"/>
    <n v="35832"/>
    <x v="1"/>
    <m/>
  </r>
  <r>
    <x v="192"/>
    <x v="3"/>
    <s v="Rajasthan"/>
    <x v="22"/>
    <x v="2"/>
    <x v="1"/>
    <n v="5"/>
    <n v="40480"/>
    <n v="202400"/>
    <x v="0"/>
    <m/>
  </r>
  <r>
    <x v="223"/>
    <x v="0"/>
    <s v="Haryana"/>
    <x v="1"/>
    <x v="11"/>
    <x v="3"/>
    <n v="6"/>
    <n v="58155"/>
    <n v="348930"/>
    <x v="7"/>
    <m/>
  </r>
  <r>
    <x v="224"/>
    <x v="3"/>
    <s v="Goa"/>
    <x v="6"/>
    <x v="4"/>
    <x v="3"/>
    <n v="2"/>
    <n v="42764"/>
    <n v="85528"/>
    <x v="6"/>
    <m/>
  </r>
  <r>
    <x v="225"/>
    <x v="1"/>
    <s v="Odisha"/>
    <x v="14"/>
    <x v="3"/>
    <x v="2"/>
    <n v="8"/>
    <n v="58098"/>
    <n v="464784"/>
    <x v="3"/>
    <m/>
  </r>
  <r>
    <x v="226"/>
    <x v="1"/>
    <s v="Bihar"/>
    <x v="3"/>
    <x v="8"/>
    <x v="2"/>
    <n v="4"/>
    <n v="57519"/>
    <n v="230076"/>
    <x v="0"/>
    <m/>
  </r>
  <r>
    <x v="227"/>
    <x v="3"/>
    <s v="Rajasthan"/>
    <x v="19"/>
    <x v="7"/>
    <x v="0"/>
    <n v="2"/>
    <n v="46292"/>
    <n v="92584"/>
    <x v="4"/>
    <m/>
  </r>
  <r>
    <x v="56"/>
    <x v="3"/>
    <s v="Rajasthan"/>
    <x v="19"/>
    <x v="3"/>
    <x v="2"/>
    <n v="7"/>
    <n v="1521"/>
    <n v="10647"/>
    <x v="6"/>
    <m/>
  </r>
  <r>
    <x v="27"/>
    <x v="3"/>
    <s v="Goa"/>
    <x v="6"/>
    <x v="10"/>
    <x v="0"/>
    <n v="6"/>
    <n v="48021"/>
    <n v="288126"/>
    <x v="0"/>
    <m/>
  </r>
  <r>
    <x v="39"/>
    <x v="1"/>
    <s v="Odisha"/>
    <x v="14"/>
    <x v="1"/>
    <x v="1"/>
    <n v="6"/>
    <n v="48109"/>
    <n v="288654"/>
    <x v="0"/>
    <m/>
  </r>
  <r>
    <x v="228"/>
    <x v="1"/>
    <s v="Odisha"/>
    <x v="14"/>
    <x v="11"/>
    <x v="3"/>
    <n v="6"/>
    <n v="1082"/>
    <n v="6492"/>
    <x v="0"/>
    <m/>
  </r>
  <r>
    <x v="229"/>
    <x v="3"/>
    <s v="Maharashtra"/>
    <x v="16"/>
    <x v="3"/>
    <x v="2"/>
    <n v="9"/>
    <n v="41045"/>
    <n v="369405"/>
    <x v="5"/>
    <m/>
  </r>
  <r>
    <x v="122"/>
    <x v="3"/>
    <s v="Goa"/>
    <x v="6"/>
    <x v="7"/>
    <x v="0"/>
    <n v="4"/>
    <n v="43486"/>
    <n v="173944"/>
    <x v="7"/>
    <m/>
  </r>
  <r>
    <x v="230"/>
    <x v="0"/>
    <s v="Punjab"/>
    <x v="20"/>
    <x v="6"/>
    <x v="2"/>
    <n v="2"/>
    <n v="48666"/>
    <n v="97332"/>
    <x v="2"/>
    <m/>
  </r>
  <r>
    <x v="105"/>
    <x v="2"/>
    <s v="Telangana"/>
    <x v="10"/>
    <x v="8"/>
    <x v="2"/>
    <n v="4"/>
    <n v="14071"/>
    <n v="56284"/>
    <x v="5"/>
    <m/>
  </r>
  <r>
    <x v="231"/>
    <x v="3"/>
    <s v="Rajasthan"/>
    <x v="19"/>
    <x v="13"/>
    <x v="3"/>
    <n v="7"/>
    <n v="23791"/>
    <n v="166537"/>
    <x v="2"/>
    <m/>
  </r>
  <r>
    <x v="22"/>
    <x v="1"/>
    <s v="Odisha"/>
    <x v="14"/>
    <x v="14"/>
    <x v="0"/>
    <n v="2"/>
    <n v="24357"/>
    <n v="48714"/>
    <x v="5"/>
    <m/>
  </r>
  <r>
    <x v="88"/>
    <x v="3"/>
    <s v="Goa"/>
    <x v="6"/>
    <x v="1"/>
    <x v="1"/>
    <n v="6"/>
    <n v="39982"/>
    <n v="239892"/>
    <x v="3"/>
    <m/>
  </r>
  <r>
    <x v="226"/>
    <x v="0"/>
    <s v="Haryana"/>
    <x v="1"/>
    <x v="2"/>
    <x v="1"/>
    <n v="1"/>
    <n v="32419"/>
    <n v="32419"/>
    <x v="2"/>
    <m/>
  </r>
  <r>
    <x v="232"/>
    <x v="2"/>
    <s v="Karnataka"/>
    <x v="7"/>
    <x v="14"/>
    <x v="0"/>
    <n v="5"/>
    <n v="7661"/>
    <n v="38305"/>
    <x v="4"/>
    <m/>
  </r>
  <r>
    <x v="151"/>
    <x v="1"/>
    <s v="Odisha"/>
    <x v="14"/>
    <x v="11"/>
    <x v="3"/>
    <n v="6"/>
    <n v="20945"/>
    <n v="125670"/>
    <x v="5"/>
    <m/>
  </r>
  <r>
    <x v="82"/>
    <x v="0"/>
    <s v="Haryana"/>
    <x v="1"/>
    <x v="2"/>
    <x v="1"/>
    <n v="5"/>
    <n v="12669"/>
    <n v="63345"/>
    <x v="1"/>
    <m/>
  </r>
  <r>
    <x v="71"/>
    <x v="3"/>
    <s v="Gujarat"/>
    <x v="5"/>
    <x v="1"/>
    <x v="1"/>
    <n v="1"/>
    <n v="37019"/>
    <n v="37019"/>
    <x v="4"/>
    <m/>
  </r>
  <r>
    <x v="233"/>
    <x v="3"/>
    <s v="Maharashtra"/>
    <x v="15"/>
    <x v="7"/>
    <x v="0"/>
    <n v="1"/>
    <n v="59282"/>
    <n v="59282"/>
    <x v="6"/>
    <m/>
  </r>
  <r>
    <x v="147"/>
    <x v="2"/>
    <s v="Karnataka"/>
    <x v="8"/>
    <x v="7"/>
    <x v="0"/>
    <n v="10"/>
    <n v="52000"/>
    <n v="520000"/>
    <x v="4"/>
    <m/>
  </r>
  <r>
    <x v="234"/>
    <x v="3"/>
    <s v="Maharashtra"/>
    <x v="16"/>
    <x v="6"/>
    <x v="2"/>
    <n v="7"/>
    <n v="22472"/>
    <n v="157304"/>
    <x v="3"/>
    <m/>
  </r>
  <r>
    <x v="170"/>
    <x v="0"/>
    <s v="Haryana"/>
    <x v="9"/>
    <x v="11"/>
    <x v="3"/>
    <n v="2"/>
    <n v="20722"/>
    <n v="41444"/>
    <x v="2"/>
    <m/>
  </r>
  <r>
    <x v="235"/>
    <x v="1"/>
    <s v="West Bengal"/>
    <x v="2"/>
    <x v="6"/>
    <x v="2"/>
    <n v="8"/>
    <n v="4363"/>
    <n v="34904"/>
    <x v="5"/>
    <m/>
  </r>
  <r>
    <x v="130"/>
    <x v="0"/>
    <s v="Haryana"/>
    <x v="1"/>
    <x v="3"/>
    <x v="2"/>
    <n v="6"/>
    <n v="16392"/>
    <n v="98352"/>
    <x v="0"/>
    <m/>
  </r>
  <r>
    <x v="236"/>
    <x v="3"/>
    <s v="Gujarat"/>
    <x v="11"/>
    <x v="13"/>
    <x v="3"/>
    <n v="9"/>
    <n v="35738"/>
    <n v="321642"/>
    <x v="6"/>
    <m/>
  </r>
  <r>
    <x v="237"/>
    <x v="3"/>
    <s v="Maharashtra"/>
    <x v="15"/>
    <x v="11"/>
    <x v="3"/>
    <n v="2"/>
    <n v="15219"/>
    <n v="30438"/>
    <x v="5"/>
    <m/>
  </r>
  <r>
    <x v="13"/>
    <x v="1"/>
    <s v="Odisha"/>
    <x v="14"/>
    <x v="14"/>
    <x v="0"/>
    <n v="6"/>
    <n v="12934"/>
    <n v="77604"/>
    <x v="0"/>
    <m/>
  </r>
  <r>
    <x v="135"/>
    <x v="0"/>
    <s v="Uttar Pradesh"/>
    <x v="0"/>
    <x v="11"/>
    <x v="3"/>
    <n v="3"/>
    <n v="3986"/>
    <n v="11958"/>
    <x v="3"/>
    <m/>
  </r>
  <r>
    <x v="100"/>
    <x v="2"/>
    <s v="Tamil Nadu"/>
    <x v="13"/>
    <x v="14"/>
    <x v="0"/>
    <n v="7"/>
    <n v="41776"/>
    <n v="292432"/>
    <x v="4"/>
    <m/>
  </r>
  <r>
    <x v="238"/>
    <x v="0"/>
    <s v="Punjab"/>
    <x v="18"/>
    <x v="12"/>
    <x v="1"/>
    <n v="10"/>
    <n v="45806"/>
    <n v="458060"/>
    <x v="0"/>
    <m/>
  </r>
  <r>
    <x v="239"/>
    <x v="2"/>
    <s v="Tamil Nadu"/>
    <x v="4"/>
    <x v="12"/>
    <x v="1"/>
    <n v="6"/>
    <n v="16483"/>
    <n v="98898"/>
    <x v="1"/>
    <m/>
  </r>
  <r>
    <x v="77"/>
    <x v="1"/>
    <s v="Assam"/>
    <x v="21"/>
    <x v="12"/>
    <x v="1"/>
    <n v="6"/>
    <n v="5848"/>
    <n v="35088"/>
    <x v="6"/>
    <m/>
  </r>
  <r>
    <x v="225"/>
    <x v="3"/>
    <s v="Maharashtra"/>
    <x v="16"/>
    <x v="1"/>
    <x v="1"/>
    <n v="1"/>
    <n v="46858"/>
    <n v="46858"/>
    <x v="5"/>
    <m/>
  </r>
  <r>
    <x v="114"/>
    <x v="0"/>
    <s v="Uttar Pradesh"/>
    <x v="0"/>
    <x v="11"/>
    <x v="3"/>
    <n v="3"/>
    <n v="51403"/>
    <n v="154209"/>
    <x v="2"/>
    <m/>
  </r>
  <r>
    <x v="225"/>
    <x v="3"/>
    <s v="Rajasthan"/>
    <x v="22"/>
    <x v="3"/>
    <x v="2"/>
    <n v="6"/>
    <n v="12562"/>
    <n v="75372"/>
    <x v="6"/>
    <m/>
  </r>
  <r>
    <x v="162"/>
    <x v="2"/>
    <s v="Telangana"/>
    <x v="10"/>
    <x v="9"/>
    <x v="3"/>
    <n v="8"/>
    <n v="55004"/>
    <n v="440032"/>
    <x v="6"/>
    <m/>
  </r>
  <r>
    <x v="41"/>
    <x v="2"/>
    <s v="Kerala"/>
    <x v="24"/>
    <x v="2"/>
    <x v="1"/>
    <n v="4"/>
    <n v="20278"/>
    <n v="81112"/>
    <x v="0"/>
    <m/>
  </r>
  <r>
    <x v="89"/>
    <x v="0"/>
    <s v="Uttar Pradesh"/>
    <x v="23"/>
    <x v="12"/>
    <x v="1"/>
    <n v="9"/>
    <n v="11373"/>
    <n v="102357"/>
    <x v="7"/>
    <m/>
  </r>
  <r>
    <x v="137"/>
    <x v="0"/>
    <s v="Uttar Pradesh"/>
    <x v="23"/>
    <x v="8"/>
    <x v="2"/>
    <n v="5"/>
    <n v="46683"/>
    <n v="233415"/>
    <x v="6"/>
    <m/>
  </r>
  <r>
    <x v="240"/>
    <x v="3"/>
    <s v="Rajasthan"/>
    <x v="22"/>
    <x v="4"/>
    <x v="3"/>
    <n v="2"/>
    <n v="54686"/>
    <n v="109372"/>
    <x v="1"/>
    <m/>
  </r>
  <r>
    <x v="143"/>
    <x v="0"/>
    <s v="Haryana"/>
    <x v="9"/>
    <x v="3"/>
    <x v="2"/>
    <n v="8"/>
    <n v="38582"/>
    <n v="308656"/>
    <x v="0"/>
    <m/>
  </r>
  <r>
    <x v="50"/>
    <x v="3"/>
    <s v="Goa"/>
    <x v="6"/>
    <x v="10"/>
    <x v="0"/>
    <n v="10"/>
    <n v="48471"/>
    <n v="484710"/>
    <x v="3"/>
    <m/>
  </r>
  <r>
    <x v="79"/>
    <x v="1"/>
    <s v="West Bengal"/>
    <x v="2"/>
    <x v="13"/>
    <x v="3"/>
    <n v="4"/>
    <n v="7297"/>
    <n v="29188"/>
    <x v="0"/>
    <m/>
  </r>
  <r>
    <x v="241"/>
    <x v="1"/>
    <s v="Bihar"/>
    <x v="3"/>
    <x v="2"/>
    <x v="1"/>
    <n v="6"/>
    <n v="39526"/>
    <n v="237156"/>
    <x v="2"/>
    <m/>
  </r>
  <r>
    <x v="119"/>
    <x v="1"/>
    <s v="Odisha"/>
    <x v="14"/>
    <x v="13"/>
    <x v="3"/>
    <n v="8"/>
    <n v="18834"/>
    <n v="150672"/>
    <x v="5"/>
    <m/>
  </r>
  <r>
    <x v="242"/>
    <x v="0"/>
    <s v="Uttar Pradesh"/>
    <x v="23"/>
    <x v="2"/>
    <x v="1"/>
    <n v="1"/>
    <n v="6432"/>
    <n v="6432"/>
    <x v="6"/>
    <m/>
  </r>
  <r>
    <x v="243"/>
    <x v="2"/>
    <s v="Tamil Nadu"/>
    <x v="13"/>
    <x v="4"/>
    <x v="3"/>
    <n v="8"/>
    <n v="35861"/>
    <n v="286888"/>
    <x v="5"/>
    <m/>
  </r>
  <r>
    <x v="30"/>
    <x v="0"/>
    <s v="Haryana"/>
    <x v="9"/>
    <x v="3"/>
    <x v="2"/>
    <n v="6"/>
    <n v="34894"/>
    <n v="209364"/>
    <x v="5"/>
    <m/>
  </r>
  <r>
    <x v="244"/>
    <x v="1"/>
    <s v="Assam"/>
    <x v="21"/>
    <x v="12"/>
    <x v="1"/>
    <n v="7"/>
    <n v="22774"/>
    <n v="159418"/>
    <x v="2"/>
    <m/>
  </r>
  <r>
    <x v="89"/>
    <x v="1"/>
    <s v="Odisha"/>
    <x v="14"/>
    <x v="1"/>
    <x v="1"/>
    <n v="3"/>
    <n v="43311"/>
    <n v="129933"/>
    <x v="0"/>
    <m/>
  </r>
  <r>
    <x v="9"/>
    <x v="1"/>
    <s v="Odisha"/>
    <x v="14"/>
    <x v="14"/>
    <x v="0"/>
    <n v="6"/>
    <n v="50221"/>
    <n v="301326"/>
    <x v="5"/>
    <m/>
  </r>
  <r>
    <x v="245"/>
    <x v="1"/>
    <s v="Bihar"/>
    <x v="3"/>
    <x v="0"/>
    <x v="0"/>
    <n v="8"/>
    <n v="10474"/>
    <n v="83792"/>
    <x v="0"/>
    <m/>
  </r>
  <r>
    <x v="212"/>
    <x v="2"/>
    <s v="Karnataka"/>
    <x v="7"/>
    <x v="11"/>
    <x v="3"/>
    <n v="4"/>
    <n v="34018"/>
    <n v="136072"/>
    <x v="0"/>
    <m/>
  </r>
  <r>
    <x v="200"/>
    <x v="3"/>
    <s v="Rajasthan"/>
    <x v="22"/>
    <x v="5"/>
    <x v="2"/>
    <n v="7"/>
    <n v="1604"/>
    <n v="11228"/>
    <x v="1"/>
    <m/>
  </r>
  <r>
    <x v="246"/>
    <x v="0"/>
    <s v="Delhi"/>
    <x v="17"/>
    <x v="3"/>
    <x v="2"/>
    <n v="2"/>
    <n v="46964"/>
    <n v="93928"/>
    <x v="5"/>
    <m/>
  </r>
  <r>
    <x v="159"/>
    <x v="3"/>
    <s v="Gujarat"/>
    <x v="11"/>
    <x v="5"/>
    <x v="2"/>
    <n v="3"/>
    <n v="36552"/>
    <n v="109656"/>
    <x v="7"/>
    <m/>
  </r>
  <r>
    <x v="220"/>
    <x v="2"/>
    <s v="Karnataka"/>
    <x v="7"/>
    <x v="6"/>
    <x v="2"/>
    <n v="5"/>
    <n v="35399"/>
    <n v="176995"/>
    <x v="0"/>
    <m/>
  </r>
  <r>
    <x v="247"/>
    <x v="3"/>
    <s v="Maharashtra"/>
    <x v="16"/>
    <x v="9"/>
    <x v="3"/>
    <n v="7"/>
    <n v="26855"/>
    <n v="187985"/>
    <x v="0"/>
    <m/>
  </r>
  <r>
    <x v="219"/>
    <x v="2"/>
    <s v="Tamil Nadu"/>
    <x v="4"/>
    <x v="2"/>
    <x v="1"/>
    <n v="10"/>
    <n v="29112"/>
    <n v="291120"/>
    <x v="7"/>
    <m/>
  </r>
  <r>
    <x v="119"/>
    <x v="2"/>
    <s v="Karnataka"/>
    <x v="7"/>
    <x v="13"/>
    <x v="3"/>
    <n v="10"/>
    <n v="57142"/>
    <n v="571420"/>
    <x v="6"/>
    <m/>
  </r>
  <r>
    <x v="197"/>
    <x v="3"/>
    <s v="Gujarat"/>
    <x v="5"/>
    <x v="10"/>
    <x v="0"/>
    <n v="5"/>
    <n v="28167"/>
    <n v="140835"/>
    <x v="6"/>
    <m/>
  </r>
  <r>
    <x v="248"/>
    <x v="0"/>
    <s v="Delhi"/>
    <x v="17"/>
    <x v="2"/>
    <x v="1"/>
    <n v="5"/>
    <n v="44301"/>
    <n v="221505"/>
    <x v="4"/>
    <m/>
  </r>
  <r>
    <x v="105"/>
    <x v="2"/>
    <s v="Karnataka"/>
    <x v="7"/>
    <x v="8"/>
    <x v="2"/>
    <n v="2"/>
    <n v="48401"/>
    <n v="96802"/>
    <x v="1"/>
    <m/>
  </r>
  <r>
    <x v="249"/>
    <x v="0"/>
    <s v="Haryana"/>
    <x v="1"/>
    <x v="1"/>
    <x v="1"/>
    <n v="5"/>
    <n v="7706"/>
    <n v="38530"/>
    <x v="4"/>
    <m/>
  </r>
  <r>
    <x v="250"/>
    <x v="0"/>
    <s v="Delhi"/>
    <x v="17"/>
    <x v="11"/>
    <x v="3"/>
    <n v="1"/>
    <n v="9615"/>
    <n v="9615"/>
    <x v="7"/>
    <m/>
  </r>
  <r>
    <x v="198"/>
    <x v="0"/>
    <s v="Uttar Pradesh"/>
    <x v="23"/>
    <x v="2"/>
    <x v="1"/>
    <n v="6"/>
    <n v="15839"/>
    <n v="95034"/>
    <x v="3"/>
    <m/>
  </r>
  <r>
    <x v="148"/>
    <x v="3"/>
    <s v="Maharashtra"/>
    <x v="15"/>
    <x v="12"/>
    <x v="1"/>
    <n v="2"/>
    <n v="25762"/>
    <n v="51524"/>
    <x v="6"/>
    <m/>
  </r>
  <r>
    <x v="131"/>
    <x v="1"/>
    <s v="Odisha"/>
    <x v="14"/>
    <x v="7"/>
    <x v="0"/>
    <n v="9"/>
    <n v="748"/>
    <n v="6732"/>
    <x v="3"/>
    <m/>
  </r>
  <r>
    <x v="54"/>
    <x v="0"/>
    <s v="Delhi"/>
    <x v="17"/>
    <x v="1"/>
    <x v="1"/>
    <n v="8"/>
    <n v="3273"/>
    <n v="26184"/>
    <x v="5"/>
    <m/>
  </r>
  <r>
    <x v="251"/>
    <x v="3"/>
    <s v="Goa"/>
    <x v="6"/>
    <x v="3"/>
    <x v="2"/>
    <n v="2"/>
    <n v="30255"/>
    <n v="60510"/>
    <x v="4"/>
    <m/>
  </r>
  <r>
    <x v="252"/>
    <x v="0"/>
    <s v="Uttar Pradesh"/>
    <x v="23"/>
    <x v="3"/>
    <x v="2"/>
    <n v="9"/>
    <n v="36886"/>
    <n v="331974"/>
    <x v="2"/>
    <m/>
  </r>
  <r>
    <x v="89"/>
    <x v="3"/>
    <s v="Goa"/>
    <x v="6"/>
    <x v="9"/>
    <x v="3"/>
    <n v="4"/>
    <n v="45310"/>
    <n v="181240"/>
    <x v="5"/>
    <m/>
  </r>
  <r>
    <x v="253"/>
    <x v="2"/>
    <s v="Karnataka"/>
    <x v="7"/>
    <x v="5"/>
    <x v="2"/>
    <n v="4"/>
    <n v="8690"/>
    <n v="34760"/>
    <x v="4"/>
    <m/>
  </r>
  <r>
    <x v="254"/>
    <x v="0"/>
    <s v="Haryana"/>
    <x v="1"/>
    <x v="12"/>
    <x v="1"/>
    <n v="6"/>
    <n v="10852"/>
    <n v="65112"/>
    <x v="2"/>
    <m/>
  </r>
  <r>
    <x v="90"/>
    <x v="0"/>
    <s v="Haryana"/>
    <x v="9"/>
    <x v="4"/>
    <x v="3"/>
    <n v="2"/>
    <n v="26142"/>
    <n v="52284"/>
    <x v="1"/>
    <m/>
  </r>
  <r>
    <x v="75"/>
    <x v="1"/>
    <s v="Assam"/>
    <x v="21"/>
    <x v="2"/>
    <x v="1"/>
    <n v="5"/>
    <n v="59826"/>
    <n v="299130"/>
    <x v="7"/>
    <m/>
  </r>
  <r>
    <x v="97"/>
    <x v="2"/>
    <s v="Karnataka"/>
    <x v="7"/>
    <x v="1"/>
    <x v="1"/>
    <n v="3"/>
    <n v="14593"/>
    <n v="43779"/>
    <x v="2"/>
    <m/>
  </r>
  <r>
    <x v="98"/>
    <x v="2"/>
    <s v="Kerala"/>
    <x v="12"/>
    <x v="3"/>
    <x v="2"/>
    <n v="1"/>
    <n v="43899"/>
    <n v="43899"/>
    <x v="5"/>
    <m/>
  </r>
  <r>
    <x v="255"/>
    <x v="1"/>
    <s v="Assam"/>
    <x v="21"/>
    <x v="4"/>
    <x v="3"/>
    <n v="6"/>
    <n v="24424"/>
    <n v="146544"/>
    <x v="5"/>
    <m/>
  </r>
  <r>
    <x v="73"/>
    <x v="1"/>
    <s v="Bihar"/>
    <x v="3"/>
    <x v="4"/>
    <x v="3"/>
    <n v="5"/>
    <n v="40051"/>
    <n v="200255"/>
    <x v="1"/>
    <m/>
  </r>
  <r>
    <x v="219"/>
    <x v="1"/>
    <s v="Assam"/>
    <x v="21"/>
    <x v="7"/>
    <x v="0"/>
    <n v="9"/>
    <n v="26105"/>
    <n v="234945"/>
    <x v="1"/>
    <m/>
  </r>
  <r>
    <x v="256"/>
    <x v="1"/>
    <s v="Assam"/>
    <x v="21"/>
    <x v="8"/>
    <x v="2"/>
    <n v="9"/>
    <n v="20606"/>
    <n v="185454"/>
    <x v="2"/>
    <m/>
  </r>
  <r>
    <x v="28"/>
    <x v="3"/>
    <s v="Gujarat"/>
    <x v="11"/>
    <x v="12"/>
    <x v="1"/>
    <n v="8"/>
    <n v="33155"/>
    <n v="265240"/>
    <x v="5"/>
    <m/>
  </r>
  <r>
    <x v="8"/>
    <x v="3"/>
    <s v="Goa"/>
    <x v="6"/>
    <x v="10"/>
    <x v="0"/>
    <n v="9"/>
    <n v="18768"/>
    <n v="168912"/>
    <x v="0"/>
    <m/>
  </r>
  <r>
    <x v="203"/>
    <x v="1"/>
    <s v="Bihar"/>
    <x v="3"/>
    <x v="2"/>
    <x v="1"/>
    <n v="2"/>
    <n v="46627"/>
    <n v="93254"/>
    <x v="7"/>
    <m/>
  </r>
  <r>
    <x v="257"/>
    <x v="0"/>
    <s v="Uttar Pradesh"/>
    <x v="0"/>
    <x v="11"/>
    <x v="3"/>
    <n v="9"/>
    <n v="27831"/>
    <n v="250479"/>
    <x v="4"/>
    <m/>
  </r>
  <r>
    <x v="258"/>
    <x v="1"/>
    <s v="Assam"/>
    <x v="21"/>
    <x v="9"/>
    <x v="3"/>
    <n v="5"/>
    <n v="57401"/>
    <n v="287005"/>
    <x v="3"/>
    <m/>
  </r>
  <r>
    <x v="32"/>
    <x v="3"/>
    <s v="Maharashtra"/>
    <x v="16"/>
    <x v="9"/>
    <x v="3"/>
    <n v="7"/>
    <n v="13541"/>
    <n v="94787"/>
    <x v="5"/>
    <m/>
  </r>
  <r>
    <x v="259"/>
    <x v="3"/>
    <s v="Gujarat"/>
    <x v="11"/>
    <x v="5"/>
    <x v="2"/>
    <n v="1"/>
    <n v="56654"/>
    <n v="56654"/>
    <x v="4"/>
    <m/>
  </r>
  <r>
    <x v="167"/>
    <x v="0"/>
    <s v="Punjab"/>
    <x v="20"/>
    <x v="7"/>
    <x v="0"/>
    <n v="7"/>
    <n v="38793"/>
    <n v="271551"/>
    <x v="3"/>
    <m/>
  </r>
  <r>
    <x v="61"/>
    <x v="3"/>
    <s v="Goa"/>
    <x v="6"/>
    <x v="8"/>
    <x v="2"/>
    <n v="7"/>
    <n v="2469"/>
    <n v="17283"/>
    <x v="1"/>
    <m/>
  </r>
  <r>
    <x v="95"/>
    <x v="0"/>
    <s v="Delhi"/>
    <x v="17"/>
    <x v="11"/>
    <x v="3"/>
    <n v="7"/>
    <n v="3285"/>
    <n v="22995"/>
    <x v="6"/>
    <m/>
  </r>
  <r>
    <x v="18"/>
    <x v="3"/>
    <s v="Gujarat"/>
    <x v="5"/>
    <x v="2"/>
    <x v="1"/>
    <n v="4"/>
    <n v="14570"/>
    <n v="58280"/>
    <x v="0"/>
    <m/>
  </r>
  <r>
    <x v="3"/>
    <x v="3"/>
    <s v="Maharashtra"/>
    <x v="15"/>
    <x v="4"/>
    <x v="3"/>
    <n v="8"/>
    <n v="13615"/>
    <n v="108920"/>
    <x v="7"/>
    <m/>
  </r>
  <r>
    <x v="260"/>
    <x v="2"/>
    <s v="Telangana"/>
    <x v="10"/>
    <x v="10"/>
    <x v="0"/>
    <n v="8"/>
    <n v="8029"/>
    <n v="64232"/>
    <x v="6"/>
    <m/>
  </r>
  <r>
    <x v="261"/>
    <x v="0"/>
    <s v="Haryana"/>
    <x v="1"/>
    <x v="9"/>
    <x v="3"/>
    <n v="8"/>
    <n v="1018"/>
    <n v="8144"/>
    <x v="1"/>
    <m/>
  </r>
  <r>
    <x v="1"/>
    <x v="1"/>
    <s v="Assam"/>
    <x v="21"/>
    <x v="3"/>
    <x v="2"/>
    <n v="5"/>
    <n v="23136"/>
    <n v="115680"/>
    <x v="3"/>
    <m/>
  </r>
  <r>
    <x v="116"/>
    <x v="2"/>
    <s v="Kerala"/>
    <x v="12"/>
    <x v="12"/>
    <x v="1"/>
    <n v="4"/>
    <n v="24536"/>
    <n v="98144"/>
    <x v="4"/>
    <m/>
  </r>
  <r>
    <x v="262"/>
    <x v="2"/>
    <s v="Karnataka"/>
    <x v="8"/>
    <x v="8"/>
    <x v="2"/>
    <n v="2"/>
    <n v="28605"/>
    <n v="57210"/>
    <x v="0"/>
    <m/>
  </r>
  <r>
    <x v="108"/>
    <x v="0"/>
    <s v="Delhi"/>
    <x v="17"/>
    <x v="11"/>
    <x v="3"/>
    <n v="6"/>
    <n v="17010"/>
    <n v="102060"/>
    <x v="7"/>
    <m/>
  </r>
  <r>
    <x v="263"/>
    <x v="0"/>
    <s v="Haryana"/>
    <x v="9"/>
    <x v="13"/>
    <x v="3"/>
    <n v="2"/>
    <n v="57732"/>
    <n v="115464"/>
    <x v="1"/>
    <m/>
  </r>
  <r>
    <x v="108"/>
    <x v="2"/>
    <s v="Kerala"/>
    <x v="24"/>
    <x v="1"/>
    <x v="1"/>
    <n v="6"/>
    <n v="57147"/>
    <n v="342882"/>
    <x v="1"/>
    <m/>
  </r>
  <r>
    <x v="79"/>
    <x v="3"/>
    <s v="Maharashtra"/>
    <x v="15"/>
    <x v="13"/>
    <x v="3"/>
    <n v="2"/>
    <n v="20597"/>
    <n v="41194"/>
    <x v="7"/>
    <m/>
  </r>
  <r>
    <x v="40"/>
    <x v="0"/>
    <s v="Haryana"/>
    <x v="1"/>
    <x v="3"/>
    <x v="2"/>
    <n v="1"/>
    <n v="2888"/>
    <n v="2888"/>
    <x v="3"/>
    <m/>
  </r>
  <r>
    <x v="191"/>
    <x v="0"/>
    <s v="Punjab"/>
    <x v="20"/>
    <x v="1"/>
    <x v="1"/>
    <n v="10"/>
    <n v="11525"/>
    <n v="115250"/>
    <x v="5"/>
    <m/>
  </r>
  <r>
    <x v="264"/>
    <x v="2"/>
    <s v="Karnataka"/>
    <x v="8"/>
    <x v="8"/>
    <x v="2"/>
    <n v="8"/>
    <n v="26115"/>
    <n v="208920"/>
    <x v="6"/>
    <m/>
  </r>
  <r>
    <x v="265"/>
    <x v="3"/>
    <s v="Gujarat"/>
    <x v="5"/>
    <x v="1"/>
    <x v="1"/>
    <n v="7"/>
    <n v="16908"/>
    <n v="118356"/>
    <x v="4"/>
    <m/>
  </r>
  <r>
    <x v="220"/>
    <x v="1"/>
    <s v="Assam"/>
    <x v="21"/>
    <x v="3"/>
    <x v="2"/>
    <n v="7"/>
    <n v="27072"/>
    <n v="189504"/>
    <x v="3"/>
    <m/>
  </r>
  <r>
    <x v="103"/>
    <x v="0"/>
    <s v="Punjab"/>
    <x v="18"/>
    <x v="6"/>
    <x v="2"/>
    <n v="3"/>
    <n v="58006"/>
    <n v="174018"/>
    <x v="1"/>
    <m/>
  </r>
  <r>
    <x v="179"/>
    <x v="2"/>
    <s v="Telangana"/>
    <x v="10"/>
    <x v="14"/>
    <x v="0"/>
    <n v="4"/>
    <n v="12495"/>
    <n v="49980"/>
    <x v="6"/>
    <m/>
  </r>
  <r>
    <x v="182"/>
    <x v="2"/>
    <s v="Telangana"/>
    <x v="10"/>
    <x v="1"/>
    <x v="1"/>
    <n v="5"/>
    <n v="46969"/>
    <n v="234845"/>
    <x v="4"/>
    <m/>
  </r>
  <r>
    <x v="225"/>
    <x v="0"/>
    <s v="Delhi"/>
    <x v="17"/>
    <x v="2"/>
    <x v="1"/>
    <n v="5"/>
    <n v="31730"/>
    <n v="158650"/>
    <x v="2"/>
    <m/>
  </r>
  <r>
    <x v="175"/>
    <x v="1"/>
    <s v="Odisha"/>
    <x v="14"/>
    <x v="2"/>
    <x v="1"/>
    <n v="9"/>
    <n v="4798"/>
    <n v="43182"/>
    <x v="4"/>
    <m/>
  </r>
  <r>
    <x v="206"/>
    <x v="1"/>
    <s v="Bihar"/>
    <x v="3"/>
    <x v="5"/>
    <x v="2"/>
    <n v="1"/>
    <n v="41512"/>
    <n v="41512"/>
    <x v="6"/>
    <m/>
  </r>
  <r>
    <x v="213"/>
    <x v="2"/>
    <s v="Kerala"/>
    <x v="12"/>
    <x v="5"/>
    <x v="2"/>
    <n v="4"/>
    <n v="38263"/>
    <n v="153052"/>
    <x v="2"/>
    <m/>
  </r>
  <r>
    <x v="266"/>
    <x v="1"/>
    <s v="Bihar"/>
    <x v="3"/>
    <x v="2"/>
    <x v="1"/>
    <n v="1"/>
    <n v="21377"/>
    <n v="21377"/>
    <x v="4"/>
    <m/>
  </r>
  <r>
    <x v="67"/>
    <x v="3"/>
    <s v="Gujarat"/>
    <x v="5"/>
    <x v="8"/>
    <x v="2"/>
    <n v="10"/>
    <n v="18442"/>
    <n v="184420"/>
    <x v="4"/>
    <m/>
  </r>
  <r>
    <x v="267"/>
    <x v="2"/>
    <s v="Telangana"/>
    <x v="10"/>
    <x v="9"/>
    <x v="3"/>
    <n v="3"/>
    <n v="14096"/>
    <n v="42288"/>
    <x v="1"/>
    <m/>
  </r>
  <r>
    <x v="79"/>
    <x v="1"/>
    <s v="Bihar"/>
    <x v="3"/>
    <x v="2"/>
    <x v="1"/>
    <n v="5"/>
    <n v="32325"/>
    <n v="161625"/>
    <x v="2"/>
    <m/>
  </r>
  <r>
    <x v="190"/>
    <x v="1"/>
    <s v="Odisha"/>
    <x v="14"/>
    <x v="0"/>
    <x v="0"/>
    <n v="10"/>
    <n v="9983"/>
    <n v="99830"/>
    <x v="2"/>
    <m/>
  </r>
  <r>
    <x v="229"/>
    <x v="3"/>
    <s v="Goa"/>
    <x v="6"/>
    <x v="3"/>
    <x v="2"/>
    <n v="2"/>
    <n v="59535"/>
    <n v="119070"/>
    <x v="4"/>
    <m/>
  </r>
  <r>
    <x v="268"/>
    <x v="1"/>
    <s v="Bihar"/>
    <x v="3"/>
    <x v="8"/>
    <x v="2"/>
    <n v="8"/>
    <n v="45176"/>
    <n v="361408"/>
    <x v="1"/>
    <m/>
  </r>
  <r>
    <x v="31"/>
    <x v="1"/>
    <s v="West Bengal"/>
    <x v="2"/>
    <x v="3"/>
    <x v="2"/>
    <n v="3"/>
    <n v="32413"/>
    <n v="97239"/>
    <x v="1"/>
    <m/>
  </r>
  <r>
    <x v="15"/>
    <x v="0"/>
    <s v="Haryana"/>
    <x v="9"/>
    <x v="12"/>
    <x v="1"/>
    <n v="2"/>
    <n v="39420"/>
    <n v="78840"/>
    <x v="7"/>
    <m/>
  </r>
  <r>
    <x v="165"/>
    <x v="1"/>
    <s v="Odisha"/>
    <x v="14"/>
    <x v="13"/>
    <x v="3"/>
    <n v="1"/>
    <n v="10792"/>
    <n v="10792"/>
    <x v="6"/>
    <m/>
  </r>
  <r>
    <x v="269"/>
    <x v="2"/>
    <s v="Tamil Nadu"/>
    <x v="4"/>
    <x v="2"/>
    <x v="1"/>
    <n v="4"/>
    <n v="43583"/>
    <n v="174332"/>
    <x v="6"/>
    <m/>
  </r>
  <r>
    <x v="227"/>
    <x v="2"/>
    <s v="Kerala"/>
    <x v="24"/>
    <x v="14"/>
    <x v="0"/>
    <n v="6"/>
    <n v="11425"/>
    <n v="68550"/>
    <x v="5"/>
    <m/>
  </r>
  <r>
    <x v="197"/>
    <x v="1"/>
    <s v="West Bengal"/>
    <x v="2"/>
    <x v="0"/>
    <x v="0"/>
    <n v="10"/>
    <n v="35689"/>
    <n v="356890"/>
    <x v="1"/>
    <m/>
  </r>
  <r>
    <x v="55"/>
    <x v="0"/>
    <s v="Haryana"/>
    <x v="1"/>
    <x v="1"/>
    <x v="1"/>
    <n v="8"/>
    <n v="12420"/>
    <n v="99360"/>
    <x v="6"/>
    <m/>
  </r>
  <r>
    <x v="237"/>
    <x v="3"/>
    <s v="Rajasthan"/>
    <x v="19"/>
    <x v="3"/>
    <x v="2"/>
    <n v="1"/>
    <n v="55059"/>
    <n v="55059"/>
    <x v="4"/>
    <m/>
  </r>
  <r>
    <x v="270"/>
    <x v="2"/>
    <s v="Tamil Nadu"/>
    <x v="4"/>
    <x v="12"/>
    <x v="1"/>
    <n v="7"/>
    <n v="22666"/>
    <n v="158662"/>
    <x v="5"/>
    <m/>
  </r>
  <r>
    <x v="105"/>
    <x v="0"/>
    <s v="Uttar Pradesh"/>
    <x v="0"/>
    <x v="3"/>
    <x v="2"/>
    <n v="7"/>
    <n v="8931"/>
    <n v="62517"/>
    <x v="1"/>
    <m/>
  </r>
  <r>
    <x v="31"/>
    <x v="1"/>
    <s v="Assam"/>
    <x v="21"/>
    <x v="4"/>
    <x v="3"/>
    <n v="1"/>
    <n v="12553"/>
    <n v="12553"/>
    <x v="2"/>
    <m/>
  </r>
  <r>
    <x v="33"/>
    <x v="0"/>
    <s v="Punjab"/>
    <x v="18"/>
    <x v="10"/>
    <x v="0"/>
    <n v="6"/>
    <n v="11191"/>
    <n v="67146"/>
    <x v="4"/>
    <m/>
  </r>
  <r>
    <x v="226"/>
    <x v="1"/>
    <s v="Bihar"/>
    <x v="3"/>
    <x v="13"/>
    <x v="3"/>
    <n v="10"/>
    <n v="48078"/>
    <n v="480780"/>
    <x v="1"/>
    <m/>
  </r>
  <r>
    <x v="177"/>
    <x v="2"/>
    <s v="Karnataka"/>
    <x v="8"/>
    <x v="6"/>
    <x v="2"/>
    <n v="5"/>
    <n v="59398"/>
    <n v="296990"/>
    <x v="6"/>
    <m/>
  </r>
  <r>
    <x v="236"/>
    <x v="1"/>
    <s v="Assam"/>
    <x v="21"/>
    <x v="2"/>
    <x v="1"/>
    <n v="2"/>
    <n v="57693"/>
    <n v="115386"/>
    <x v="2"/>
    <m/>
  </r>
  <r>
    <x v="83"/>
    <x v="2"/>
    <s v="Karnataka"/>
    <x v="7"/>
    <x v="4"/>
    <x v="3"/>
    <n v="5"/>
    <n v="37712"/>
    <n v="188560"/>
    <x v="5"/>
    <m/>
  </r>
  <r>
    <x v="271"/>
    <x v="2"/>
    <s v="Karnataka"/>
    <x v="8"/>
    <x v="14"/>
    <x v="0"/>
    <n v="4"/>
    <n v="13173"/>
    <n v="52692"/>
    <x v="1"/>
    <m/>
  </r>
  <r>
    <x v="272"/>
    <x v="0"/>
    <s v="Haryana"/>
    <x v="9"/>
    <x v="9"/>
    <x v="3"/>
    <n v="1"/>
    <n v="1299"/>
    <n v="1299"/>
    <x v="1"/>
    <m/>
  </r>
  <r>
    <x v="5"/>
    <x v="1"/>
    <s v="Assam"/>
    <x v="21"/>
    <x v="9"/>
    <x v="3"/>
    <n v="5"/>
    <n v="36326"/>
    <n v="181630"/>
    <x v="6"/>
    <m/>
  </r>
  <r>
    <x v="196"/>
    <x v="0"/>
    <s v="Punjab"/>
    <x v="18"/>
    <x v="5"/>
    <x v="2"/>
    <n v="5"/>
    <n v="55540"/>
    <n v="277700"/>
    <x v="5"/>
    <m/>
  </r>
  <r>
    <x v="57"/>
    <x v="2"/>
    <s v="Karnataka"/>
    <x v="8"/>
    <x v="1"/>
    <x v="1"/>
    <n v="9"/>
    <n v="55644"/>
    <n v="500796"/>
    <x v="5"/>
    <m/>
  </r>
  <r>
    <x v="211"/>
    <x v="2"/>
    <s v="Telangana"/>
    <x v="10"/>
    <x v="10"/>
    <x v="0"/>
    <n v="10"/>
    <n v="51029"/>
    <n v="510290"/>
    <x v="4"/>
    <m/>
  </r>
  <r>
    <x v="8"/>
    <x v="0"/>
    <s v="Punjab"/>
    <x v="20"/>
    <x v="0"/>
    <x v="0"/>
    <n v="4"/>
    <n v="35117"/>
    <n v="140468"/>
    <x v="0"/>
    <m/>
  </r>
  <r>
    <x v="45"/>
    <x v="3"/>
    <s v="Gujarat"/>
    <x v="5"/>
    <x v="6"/>
    <x v="2"/>
    <n v="4"/>
    <n v="51240"/>
    <n v="204960"/>
    <x v="0"/>
    <m/>
  </r>
  <r>
    <x v="199"/>
    <x v="2"/>
    <s v="Tamil Nadu"/>
    <x v="4"/>
    <x v="9"/>
    <x v="3"/>
    <n v="2"/>
    <n v="41747"/>
    <n v="83494"/>
    <x v="4"/>
    <m/>
  </r>
  <r>
    <x v="145"/>
    <x v="2"/>
    <s v="Karnataka"/>
    <x v="7"/>
    <x v="9"/>
    <x v="3"/>
    <n v="1"/>
    <n v="12153"/>
    <n v="12153"/>
    <x v="0"/>
    <m/>
  </r>
  <r>
    <x v="248"/>
    <x v="3"/>
    <s v="Goa"/>
    <x v="6"/>
    <x v="13"/>
    <x v="3"/>
    <n v="8"/>
    <n v="45583"/>
    <n v="364664"/>
    <x v="2"/>
    <m/>
  </r>
  <r>
    <x v="96"/>
    <x v="1"/>
    <s v="West Bengal"/>
    <x v="2"/>
    <x v="4"/>
    <x v="3"/>
    <n v="3"/>
    <n v="26248"/>
    <n v="78744"/>
    <x v="5"/>
    <m/>
  </r>
  <r>
    <x v="146"/>
    <x v="2"/>
    <s v="Kerala"/>
    <x v="12"/>
    <x v="0"/>
    <x v="0"/>
    <n v="10"/>
    <n v="13178"/>
    <n v="131780"/>
    <x v="1"/>
    <m/>
  </r>
  <r>
    <x v="204"/>
    <x v="0"/>
    <s v="Punjab"/>
    <x v="18"/>
    <x v="14"/>
    <x v="0"/>
    <n v="1"/>
    <n v="6062"/>
    <n v="6062"/>
    <x v="4"/>
    <m/>
  </r>
  <r>
    <x v="7"/>
    <x v="0"/>
    <s v="Haryana"/>
    <x v="1"/>
    <x v="2"/>
    <x v="1"/>
    <n v="8"/>
    <n v="39214"/>
    <n v="313712"/>
    <x v="6"/>
    <m/>
  </r>
  <r>
    <x v="270"/>
    <x v="0"/>
    <s v="Punjab"/>
    <x v="20"/>
    <x v="6"/>
    <x v="2"/>
    <n v="6"/>
    <n v="32287"/>
    <n v="193722"/>
    <x v="5"/>
    <m/>
  </r>
  <r>
    <x v="199"/>
    <x v="2"/>
    <s v="Tamil Nadu"/>
    <x v="13"/>
    <x v="7"/>
    <x v="0"/>
    <n v="1"/>
    <n v="12704"/>
    <n v="12704"/>
    <x v="7"/>
    <m/>
  </r>
  <r>
    <x v="224"/>
    <x v="2"/>
    <s v="Karnataka"/>
    <x v="8"/>
    <x v="6"/>
    <x v="2"/>
    <n v="7"/>
    <n v="9749"/>
    <n v="68243"/>
    <x v="2"/>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91B6CAF-51E1-490F-810F-6F3396E55F4C}" name="PivotTable12"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5:G6" firstHeaderRow="1" firstDataRow="1" firstDataCol="0"/>
  <pivotFields count="13">
    <pivotField numFmtId="14" showAll="0">
      <items count="274">
        <item x="241"/>
        <item x="256"/>
        <item x="73"/>
        <item x="230"/>
        <item x="86"/>
        <item x="93"/>
        <item x="34"/>
        <item x="267"/>
        <item x="226"/>
        <item x="257"/>
        <item x="114"/>
        <item x="41"/>
        <item x="97"/>
        <item x="265"/>
        <item x="4"/>
        <item x="63"/>
        <item x="87"/>
        <item x="194"/>
        <item x="225"/>
        <item x="272"/>
        <item x="40"/>
        <item x="263"/>
        <item x="8"/>
        <item x="183"/>
        <item x="187"/>
        <item x="89"/>
        <item x="213"/>
        <item x="137"/>
        <item x="76"/>
        <item x="72"/>
        <item x="182"/>
        <item x="150"/>
        <item x="185"/>
        <item x="100"/>
        <item x="170"/>
        <item x="140"/>
        <item x="2"/>
        <item x="179"/>
        <item x="12"/>
        <item x="200"/>
        <item x="148"/>
        <item x="192"/>
        <item x="9"/>
        <item x="125"/>
        <item x="68"/>
        <item x="243"/>
        <item x="190"/>
        <item x="46"/>
        <item x="158"/>
        <item x="207"/>
        <item x="212"/>
        <item x="95"/>
        <item x="173"/>
        <item x="233"/>
        <item x="56"/>
        <item x="106"/>
        <item x="168"/>
        <item x="108"/>
        <item x="14"/>
        <item x="16"/>
        <item x="65"/>
        <item x="262"/>
        <item x="220"/>
        <item x="159"/>
        <item x="57"/>
        <item x="215"/>
        <item x="85"/>
        <item x="126"/>
        <item x="44"/>
        <item x="18"/>
        <item x="128"/>
        <item x="155"/>
        <item x="36"/>
        <item x="3"/>
        <item x="198"/>
        <item x="153"/>
        <item x="205"/>
        <item x="223"/>
        <item x="115"/>
        <item x="119"/>
        <item x="116"/>
        <item x="251"/>
        <item x="218"/>
        <item x="113"/>
        <item x="69"/>
        <item x="236"/>
        <item x="164"/>
        <item x="124"/>
        <item x="216"/>
        <item x="228"/>
        <item x="62"/>
        <item x="138"/>
        <item x="122"/>
        <item x="130"/>
        <item x="259"/>
        <item x="165"/>
        <item x="6"/>
        <item x="39"/>
        <item x="268"/>
        <item x="90"/>
        <item x="254"/>
        <item x="22"/>
        <item x="109"/>
        <item x="139"/>
        <item x="146"/>
        <item x="5"/>
        <item x="88"/>
        <item x="11"/>
        <item x="29"/>
        <item x="206"/>
        <item x="59"/>
        <item x="266"/>
        <item x="45"/>
        <item x="132"/>
        <item x="135"/>
        <item x="91"/>
        <item x="64"/>
        <item x="171"/>
        <item x="264"/>
        <item x="23"/>
        <item x="80"/>
        <item x="37"/>
        <item x="33"/>
        <item x="237"/>
        <item x="71"/>
        <item x="15"/>
        <item x="234"/>
        <item x="94"/>
        <item x="152"/>
        <item x="131"/>
        <item x="270"/>
        <item x="121"/>
        <item x="242"/>
        <item x="154"/>
        <item x="133"/>
        <item x="260"/>
        <item x="166"/>
        <item x="219"/>
        <item x="244"/>
        <item x="197"/>
        <item x="193"/>
        <item x="53"/>
        <item x="169"/>
        <item x="163"/>
        <item x="156"/>
        <item x="54"/>
        <item x="184"/>
        <item x="202"/>
        <item x="247"/>
        <item x="157"/>
        <item x="99"/>
        <item x="43"/>
        <item x="191"/>
        <item x="27"/>
        <item x="208"/>
        <item x="161"/>
        <item x="102"/>
        <item x="110"/>
        <item x="66"/>
        <item x="101"/>
        <item x="30"/>
        <item x="61"/>
        <item x="252"/>
        <item x="209"/>
        <item x="221"/>
        <item x="67"/>
        <item x="50"/>
        <item x="42"/>
        <item x="160"/>
        <item x="24"/>
        <item x="111"/>
        <item x="104"/>
        <item x="269"/>
        <item x="118"/>
        <item x="224"/>
        <item x="117"/>
        <item x="123"/>
        <item x="217"/>
        <item x="203"/>
        <item x="60"/>
        <item x="82"/>
        <item x="246"/>
        <item x="172"/>
        <item x="112"/>
        <item x="255"/>
        <item x="31"/>
        <item x="51"/>
        <item x="17"/>
        <item x="58"/>
        <item x="79"/>
        <item x="0"/>
        <item x="204"/>
        <item x="142"/>
        <item x="177"/>
        <item x="211"/>
        <item x="103"/>
        <item x="248"/>
        <item x="188"/>
        <item x="120"/>
        <item x="74"/>
        <item x="239"/>
        <item x="249"/>
        <item x="253"/>
        <item x="49"/>
        <item x="175"/>
        <item x="47"/>
        <item x="232"/>
        <item x="25"/>
        <item x="92"/>
        <item x="105"/>
        <item x="134"/>
        <item x="174"/>
        <item x="32"/>
        <item x="55"/>
        <item x="210"/>
        <item x="162"/>
        <item x="149"/>
        <item x="21"/>
        <item x="151"/>
        <item x="271"/>
        <item x="1"/>
        <item x="229"/>
        <item x="144"/>
        <item x="178"/>
        <item x="48"/>
        <item x="13"/>
        <item x="136"/>
        <item x="214"/>
        <item x="181"/>
        <item x="98"/>
        <item x="83"/>
        <item x="245"/>
        <item x="231"/>
        <item x="222"/>
        <item x="258"/>
        <item x="52"/>
        <item x="107"/>
        <item x="167"/>
        <item x="261"/>
        <item x="141"/>
        <item x="199"/>
        <item x="26"/>
        <item x="7"/>
        <item x="250"/>
        <item x="147"/>
        <item x="238"/>
        <item x="196"/>
        <item x="81"/>
        <item x="28"/>
        <item x="176"/>
        <item x="195"/>
        <item x="240"/>
        <item x="96"/>
        <item x="235"/>
        <item x="75"/>
        <item x="180"/>
        <item x="19"/>
        <item x="10"/>
        <item x="145"/>
        <item x="227"/>
        <item x="77"/>
        <item x="20"/>
        <item x="143"/>
        <item x="78"/>
        <item x="127"/>
        <item x="129"/>
        <item x="201"/>
        <item x="38"/>
        <item x="189"/>
        <item x="186"/>
        <item x="84"/>
        <item x="70"/>
        <item x="35"/>
        <item t="default"/>
      </items>
    </pivotField>
    <pivotField showAll="0">
      <items count="5">
        <item x="1"/>
        <item x="0"/>
        <item x="2"/>
        <item x="3"/>
        <item t="default"/>
      </items>
    </pivotField>
    <pivotField showAll="0"/>
    <pivotField showAll="0">
      <items count="26">
        <item x="11"/>
        <item x="20"/>
        <item x="7"/>
        <item x="14"/>
        <item x="13"/>
        <item x="4"/>
        <item x="17"/>
        <item x="9"/>
        <item x="1"/>
        <item x="21"/>
        <item x="10"/>
        <item x="22"/>
        <item x="12"/>
        <item x="2"/>
        <item x="23"/>
        <item x="18"/>
        <item x="15"/>
        <item x="8"/>
        <item x="0"/>
        <item x="6"/>
        <item x="3"/>
        <item x="16"/>
        <item x="5"/>
        <item x="24"/>
        <item x="19"/>
        <item t="default"/>
      </items>
    </pivotField>
    <pivotField showAll="0"/>
    <pivotField showAll="0">
      <items count="5">
        <item x="3"/>
        <item x="2"/>
        <item x="1"/>
        <item x="0"/>
        <item t="default"/>
      </items>
    </pivotField>
    <pivotField numFmtId="1" showAll="0"/>
    <pivotField numFmtId="1" showAll="0"/>
    <pivotField numFmtId="1" showAll="0"/>
    <pivotField showAll="0">
      <items count="9">
        <item x="5"/>
        <item x="2"/>
        <item x="6"/>
        <item x="7"/>
        <item x="1"/>
        <item x="0"/>
        <item x="4"/>
        <item x="3"/>
        <item t="default"/>
      </items>
    </pivotField>
    <pivotField dataField="1" showAll="0"/>
    <pivotField showAll="0" defaultSubtotal="0"/>
    <pivotField showAll="0" defaultSubtotal="0">
      <items count="14">
        <item x="0"/>
        <item x="1"/>
        <item x="2"/>
        <item x="3"/>
        <item x="4"/>
        <item x="5"/>
        <item x="6"/>
        <item x="7"/>
        <item x="8"/>
        <item x="9"/>
        <item x="10"/>
        <item x="11"/>
        <item x="12"/>
        <item x="13"/>
      </items>
    </pivotField>
  </pivotFields>
  <rowItems count="1">
    <i/>
  </rowItems>
  <colItems count="1">
    <i/>
  </colItems>
  <dataFields count="1">
    <dataField name="Sum of AllSalesAmt" fld="10" baseField="0" baseItem="0"/>
  </dataFields>
  <chartFormats count="3">
    <chartFormat chart="0" format="0" series="1">
      <pivotArea type="data" outline="0" fieldPosition="0">
        <references count="1">
          <reference field="4294967294" count="1" selected="0">
            <x v="0"/>
          </reference>
        </references>
      </pivotArea>
    </chartFormat>
    <chartFormat chart="2" format="3" series="1">
      <pivotArea type="data" outline="0" fieldPosition="0">
        <references count="1">
          <reference field="4294967294" count="1" selected="0">
            <x v="0"/>
          </reference>
        </references>
      </pivotArea>
    </chartFormat>
    <chartFormat chart="2" format="4">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A49488D-11DB-4839-8CDD-51E2C666FC74}" name="PivotTable9"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20" firstHeaderRow="1" firstDataRow="1" firstDataCol="0"/>
  <pivotFields count="13">
    <pivotField numFmtId="14" showAll="0">
      <items count="274">
        <item x="241"/>
        <item x="256"/>
        <item x="73"/>
        <item x="230"/>
        <item x="86"/>
        <item x="93"/>
        <item x="34"/>
        <item x="267"/>
        <item x="226"/>
        <item x="257"/>
        <item x="114"/>
        <item x="41"/>
        <item x="97"/>
        <item x="265"/>
        <item x="4"/>
        <item x="63"/>
        <item x="87"/>
        <item x="194"/>
        <item x="225"/>
        <item x="272"/>
        <item x="40"/>
        <item x="263"/>
        <item x="8"/>
        <item x="183"/>
        <item x="187"/>
        <item x="89"/>
        <item x="213"/>
        <item x="137"/>
        <item x="76"/>
        <item x="72"/>
        <item x="182"/>
        <item x="150"/>
        <item x="185"/>
        <item x="100"/>
        <item x="170"/>
        <item x="140"/>
        <item x="2"/>
        <item x="179"/>
        <item x="12"/>
        <item x="200"/>
        <item x="148"/>
        <item x="192"/>
        <item x="9"/>
        <item x="125"/>
        <item x="68"/>
        <item x="243"/>
        <item x="190"/>
        <item x="46"/>
        <item x="158"/>
        <item x="207"/>
        <item x="212"/>
        <item x="95"/>
        <item x="173"/>
        <item x="233"/>
        <item x="56"/>
        <item x="106"/>
        <item x="168"/>
        <item x="108"/>
        <item x="14"/>
        <item x="16"/>
        <item x="65"/>
        <item x="262"/>
        <item x="220"/>
        <item x="159"/>
        <item x="57"/>
        <item x="215"/>
        <item x="85"/>
        <item x="126"/>
        <item x="44"/>
        <item x="18"/>
        <item x="128"/>
        <item x="155"/>
        <item x="36"/>
        <item x="3"/>
        <item x="198"/>
        <item x="153"/>
        <item x="205"/>
        <item x="223"/>
        <item x="115"/>
        <item x="119"/>
        <item x="116"/>
        <item x="251"/>
        <item x="218"/>
        <item x="113"/>
        <item x="69"/>
        <item x="236"/>
        <item x="164"/>
        <item x="124"/>
        <item x="216"/>
        <item x="228"/>
        <item x="62"/>
        <item x="138"/>
        <item x="122"/>
        <item x="130"/>
        <item x="259"/>
        <item x="165"/>
        <item x="6"/>
        <item x="39"/>
        <item x="268"/>
        <item x="90"/>
        <item x="254"/>
        <item x="22"/>
        <item x="109"/>
        <item x="139"/>
        <item x="146"/>
        <item x="5"/>
        <item x="88"/>
        <item x="11"/>
        <item x="29"/>
        <item x="206"/>
        <item x="59"/>
        <item x="266"/>
        <item x="45"/>
        <item x="132"/>
        <item x="135"/>
        <item x="91"/>
        <item x="64"/>
        <item x="171"/>
        <item x="264"/>
        <item x="23"/>
        <item x="80"/>
        <item x="37"/>
        <item x="33"/>
        <item x="237"/>
        <item x="71"/>
        <item x="15"/>
        <item x="234"/>
        <item x="94"/>
        <item x="152"/>
        <item x="131"/>
        <item x="270"/>
        <item x="121"/>
        <item x="242"/>
        <item x="154"/>
        <item x="133"/>
        <item x="260"/>
        <item x="166"/>
        <item x="219"/>
        <item x="244"/>
        <item x="197"/>
        <item x="193"/>
        <item x="53"/>
        <item x="169"/>
        <item x="163"/>
        <item x="156"/>
        <item x="54"/>
        <item x="184"/>
        <item x="202"/>
        <item x="247"/>
        <item x="157"/>
        <item x="99"/>
        <item x="43"/>
        <item x="191"/>
        <item x="27"/>
        <item x="208"/>
        <item x="161"/>
        <item x="102"/>
        <item x="110"/>
        <item x="66"/>
        <item x="101"/>
        <item x="30"/>
        <item x="61"/>
        <item x="252"/>
        <item x="209"/>
        <item x="221"/>
        <item x="67"/>
        <item x="50"/>
        <item x="42"/>
        <item x="160"/>
        <item x="24"/>
        <item x="111"/>
        <item x="104"/>
        <item x="269"/>
        <item x="118"/>
        <item x="224"/>
        <item x="117"/>
        <item x="123"/>
        <item x="217"/>
        <item x="203"/>
        <item x="60"/>
        <item x="82"/>
        <item x="246"/>
        <item x="172"/>
        <item x="112"/>
        <item x="255"/>
        <item x="31"/>
        <item x="51"/>
        <item x="17"/>
        <item x="58"/>
        <item x="79"/>
        <item x="0"/>
        <item x="204"/>
        <item x="142"/>
        <item x="177"/>
        <item x="211"/>
        <item x="103"/>
        <item x="248"/>
        <item x="188"/>
        <item x="120"/>
        <item x="74"/>
        <item x="239"/>
        <item x="249"/>
        <item x="253"/>
        <item x="49"/>
        <item x="175"/>
        <item x="47"/>
        <item x="232"/>
        <item x="25"/>
        <item x="92"/>
        <item x="105"/>
        <item x="134"/>
        <item x="174"/>
        <item x="32"/>
        <item x="55"/>
        <item x="210"/>
        <item x="162"/>
        <item x="149"/>
        <item x="21"/>
        <item x="151"/>
        <item x="271"/>
        <item x="1"/>
        <item x="229"/>
        <item x="144"/>
        <item x="178"/>
        <item x="48"/>
        <item x="13"/>
        <item x="136"/>
        <item x="214"/>
        <item x="181"/>
        <item x="98"/>
        <item x="83"/>
        <item x="245"/>
        <item x="231"/>
        <item x="222"/>
        <item x="258"/>
        <item x="52"/>
        <item x="107"/>
        <item x="167"/>
        <item x="261"/>
        <item x="141"/>
        <item x="199"/>
        <item x="26"/>
        <item x="7"/>
        <item x="250"/>
        <item x="147"/>
        <item x="238"/>
        <item x="196"/>
        <item x="81"/>
        <item x="28"/>
        <item x="176"/>
        <item x="195"/>
        <item x="240"/>
        <item x="96"/>
        <item x="235"/>
        <item x="75"/>
        <item x="180"/>
        <item x="19"/>
        <item x="10"/>
        <item x="145"/>
        <item x="227"/>
        <item x="77"/>
        <item x="20"/>
        <item x="143"/>
        <item x="78"/>
        <item x="127"/>
        <item x="129"/>
        <item x="201"/>
        <item x="38"/>
        <item x="189"/>
        <item x="186"/>
        <item x="84"/>
        <item x="70"/>
        <item x="35"/>
        <item t="default"/>
      </items>
    </pivotField>
    <pivotField showAll="0">
      <items count="5">
        <item x="1"/>
        <item x="0"/>
        <item x="2"/>
        <item x="3"/>
        <item t="default"/>
      </items>
    </pivotField>
    <pivotField showAll="0"/>
    <pivotField showAll="0">
      <items count="26">
        <item x="11"/>
        <item x="20"/>
        <item x="7"/>
        <item x="14"/>
        <item x="13"/>
        <item x="4"/>
        <item x="17"/>
        <item x="9"/>
        <item x="1"/>
        <item x="21"/>
        <item x="10"/>
        <item x="22"/>
        <item x="12"/>
        <item x="2"/>
        <item x="23"/>
        <item x="18"/>
        <item x="15"/>
        <item x="8"/>
        <item x="0"/>
        <item x="6"/>
        <item x="3"/>
        <item x="16"/>
        <item x="5"/>
        <item x="24"/>
        <item x="19"/>
        <item t="default"/>
      </items>
    </pivotField>
    <pivotField showAll="0"/>
    <pivotField showAll="0">
      <items count="5">
        <item x="3"/>
        <item x="2"/>
        <item x="1"/>
        <item x="0"/>
        <item t="default"/>
      </items>
    </pivotField>
    <pivotField numFmtId="1" showAll="0"/>
    <pivotField numFmtId="1" showAll="0"/>
    <pivotField numFmtId="1" showAll="0"/>
    <pivotField showAll="0">
      <items count="9">
        <item x="5"/>
        <item x="2"/>
        <item x="6"/>
        <item x="7"/>
        <item x="1"/>
        <item x="0"/>
        <item x="4"/>
        <item x="3"/>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FF0CED5-7FAE-4D16-9DAB-F6EEE2C6FC72}" name="PivotTable8"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Salesman">
  <location ref="B91:C100" firstHeaderRow="1" firstDataRow="1" firstDataCol="1"/>
  <pivotFields count="13">
    <pivotField numFmtId="14" showAll="0">
      <items count="274">
        <item x="241"/>
        <item x="256"/>
        <item x="73"/>
        <item x="230"/>
        <item x="86"/>
        <item x="93"/>
        <item x="34"/>
        <item x="267"/>
        <item x="226"/>
        <item x="257"/>
        <item x="114"/>
        <item x="41"/>
        <item x="97"/>
        <item x="265"/>
        <item x="4"/>
        <item x="63"/>
        <item x="87"/>
        <item x="194"/>
        <item x="225"/>
        <item x="272"/>
        <item x="40"/>
        <item x="263"/>
        <item x="8"/>
        <item x="183"/>
        <item x="187"/>
        <item x="89"/>
        <item x="213"/>
        <item x="137"/>
        <item x="76"/>
        <item x="72"/>
        <item x="182"/>
        <item x="150"/>
        <item x="185"/>
        <item x="100"/>
        <item x="170"/>
        <item x="140"/>
        <item x="2"/>
        <item x="179"/>
        <item x="12"/>
        <item x="200"/>
        <item x="148"/>
        <item x="192"/>
        <item x="9"/>
        <item x="125"/>
        <item x="68"/>
        <item x="243"/>
        <item x="190"/>
        <item x="46"/>
        <item x="158"/>
        <item x="207"/>
        <item x="212"/>
        <item x="95"/>
        <item x="173"/>
        <item x="233"/>
        <item x="56"/>
        <item x="106"/>
        <item x="168"/>
        <item x="108"/>
        <item x="14"/>
        <item x="16"/>
        <item x="65"/>
        <item x="262"/>
        <item x="220"/>
        <item x="159"/>
        <item x="57"/>
        <item x="215"/>
        <item x="85"/>
        <item x="126"/>
        <item x="44"/>
        <item x="18"/>
        <item x="128"/>
        <item x="155"/>
        <item x="36"/>
        <item x="3"/>
        <item x="198"/>
        <item x="153"/>
        <item x="205"/>
        <item x="223"/>
        <item x="115"/>
        <item x="119"/>
        <item x="116"/>
        <item x="251"/>
        <item x="218"/>
        <item x="113"/>
        <item x="69"/>
        <item x="236"/>
        <item x="164"/>
        <item x="124"/>
        <item x="216"/>
        <item x="228"/>
        <item x="62"/>
        <item x="138"/>
        <item x="122"/>
        <item x="130"/>
        <item x="259"/>
        <item x="165"/>
        <item x="6"/>
        <item x="39"/>
        <item x="268"/>
        <item x="90"/>
        <item x="254"/>
        <item x="22"/>
        <item x="109"/>
        <item x="139"/>
        <item x="146"/>
        <item x="5"/>
        <item x="88"/>
        <item x="11"/>
        <item x="29"/>
        <item x="206"/>
        <item x="59"/>
        <item x="266"/>
        <item x="45"/>
        <item x="132"/>
        <item x="135"/>
        <item x="91"/>
        <item x="64"/>
        <item x="171"/>
        <item x="264"/>
        <item x="23"/>
        <item x="80"/>
        <item x="37"/>
        <item x="33"/>
        <item x="237"/>
        <item x="71"/>
        <item x="15"/>
        <item x="234"/>
        <item x="94"/>
        <item x="152"/>
        <item x="131"/>
        <item x="270"/>
        <item x="121"/>
        <item x="242"/>
        <item x="154"/>
        <item x="133"/>
        <item x="260"/>
        <item x="166"/>
        <item x="219"/>
        <item x="244"/>
        <item x="197"/>
        <item x="193"/>
        <item x="53"/>
        <item x="169"/>
        <item x="163"/>
        <item x="156"/>
        <item x="54"/>
        <item x="184"/>
        <item x="202"/>
        <item x="247"/>
        <item x="157"/>
        <item x="99"/>
        <item x="43"/>
        <item x="191"/>
        <item x="27"/>
        <item x="208"/>
        <item x="161"/>
        <item x="102"/>
        <item x="110"/>
        <item x="66"/>
        <item x="101"/>
        <item x="30"/>
        <item x="61"/>
        <item x="252"/>
        <item x="209"/>
        <item x="221"/>
        <item x="67"/>
        <item x="50"/>
        <item x="42"/>
        <item x="160"/>
        <item x="24"/>
        <item x="111"/>
        <item x="104"/>
        <item x="269"/>
        <item x="118"/>
        <item x="224"/>
        <item x="117"/>
        <item x="123"/>
        <item x="217"/>
        <item x="203"/>
        <item x="60"/>
        <item x="82"/>
        <item x="246"/>
        <item x="172"/>
        <item x="112"/>
        <item x="255"/>
        <item x="31"/>
        <item x="51"/>
        <item x="17"/>
        <item x="58"/>
        <item x="79"/>
        <item x="0"/>
        <item x="204"/>
        <item x="142"/>
        <item x="177"/>
        <item x="211"/>
        <item x="103"/>
        <item x="248"/>
        <item x="188"/>
        <item x="120"/>
        <item x="74"/>
        <item x="239"/>
        <item x="249"/>
        <item x="253"/>
        <item x="49"/>
        <item x="175"/>
        <item x="47"/>
        <item x="232"/>
        <item x="25"/>
        <item x="92"/>
        <item x="105"/>
        <item x="134"/>
        <item x="174"/>
        <item x="32"/>
        <item x="55"/>
        <item x="210"/>
        <item x="162"/>
        <item x="149"/>
        <item x="21"/>
        <item x="151"/>
        <item x="271"/>
        <item x="1"/>
        <item x="229"/>
        <item x="144"/>
        <item x="178"/>
        <item x="48"/>
        <item x="13"/>
        <item x="136"/>
        <item x="214"/>
        <item x="181"/>
        <item x="98"/>
        <item x="83"/>
        <item x="245"/>
        <item x="231"/>
        <item x="222"/>
        <item x="258"/>
        <item x="52"/>
        <item x="107"/>
        <item x="167"/>
        <item x="261"/>
        <item x="141"/>
        <item x="199"/>
        <item x="26"/>
        <item x="7"/>
        <item x="250"/>
        <item x="147"/>
        <item x="238"/>
        <item x="196"/>
        <item x="81"/>
        <item x="28"/>
        <item x="176"/>
        <item x="195"/>
        <item x="240"/>
        <item x="96"/>
        <item x="235"/>
        <item x="75"/>
        <item x="180"/>
        <item x="19"/>
        <item x="10"/>
        <item x="145"/>
        <item x="227"/>
        <item x="77"/>
        <item x="20"/>
        <item x="143"/>
        <item x="78"/>
        <item x="127"/>
        <item x="129"/>
        <item x="201"/>
        <item x="38"/>
        <item x="189"/>
        <item x="186"/>
        <item x="84"/>
        <item x="70"/>
        <item x="35"/>
        <item t="default"/>
      </items>
    </pivotField>
    <pivotField showAll="0">
      <items count="5">
        <item x="1"/>
        <item x="0"/>
        <item x="2"/>
        <item x="3"/>
        <item t="default"/>
      </items>
    </pivotField>
    <pivotField showAll="0"/>
    <pivotField showAll="0">
      <items count="26">
        <item x="11"/>
        <item x="20"/>
        <item x="7"/>
        <item x="14"/>
        <item x="13"/>
        <item x="4"/>
        <item x="17"/>
        <item x="9"/>
        <item x="1"/>
        <item x="21"/>
        <item x="10"/>
        <item x="22"/>
        <item x="12"/>
        <item x="2"/>
        <item x="23"/>
        <item x="18"/>
        <item x="15"/>
        <item x="8"/>
        <item x="0"/>
        <item x="6"/>
        <item x="3"/>
        <item x="16"/>
        <item x="5"/>
        <item x="24"/>
        <item x="19"/>
        <item t="default"/>
      </items>
    </pivotField>
    <pivotField showAll="0"/>
    <pivotField showAll="0">
      <items count="5">
        <item x="3"/>
        <item x="2"/>
        <item x="1"/>
        <item x="0"/>
        <item t="default"/>
      </items>
    </pivotField>
    <pivotField numFmtId="1" showAll="0"/>
    <pivotField numFmtId="1" showAll="0"/>
    <pivotField dataField="1" numFmtId="1" showAll="0"/>
    <pivotField axis="axisRow" showAll="0" sortType="ascending">
      <items count="9">
        <item x="5"/>
        <item x="2"/>
        <item x="6"/>
        <item x="7"/>
        <item x="1"/>
        <item x="0"/>
        <item x="4"/>
        <item x="3"/>
        <item t="default"/>
      </items>
      <autoSortScope>
        <pivotArea dataOnly="0" outline="0" fieldPosition="0">
          <references count="1">
            <reference field="4294967294" count="1" selected="0">
              <x v="0"/>
            </reference>
          </references>
        </pivotArea>
      </autoSortScope>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9"/>
  </rowFields>
  <rowItems count="9">
    <i>
      <x v="7"/>
    </i>
    <i>
      <x v="6"/>
    </i>
    <i>
      <x/>
    </i>
    <i>
      <x v="1"/>
    </i>
    <i>
      <x v="3"/>
    </i>
    <i>
      <x v="4"/>
    </i>
    <i>
      <x v="5"/>
    </i>
    <i>
      <x v="2"/>
    </i>
    <i t="grand">
      <x/>
    </i>
  </rowItems>
  <colItems count="1">
    <i/>
  </colItems>
  <dataFields count="1">
    <dataField name="Amount" fld="8" baseField="0" baseItem="0"/>
  </dataFields>
  <formats count="6">
    <format dxfId="1109">
      <pivotArea type="all" dataOnly="0" outline="0" fieldPosition="0"/>
    </format>
    <format dxfId="1110">
      <pivotArea outline="0" collapsedLevelsAreSubtotals="1" fieldPosition="0"/>
    </format>
    <format dxfId="1111">
      <pivotArea field="9" type="button" dataOnly="0" labelOnly="1" outline="0" axis="axisRow" fieldPosition="0"/>
    </format>
    <format dxfId="1112">
      <pivotArea dataOnly="0" labelOnly="1" fieldPosition="0">
        <references count="1">
          <reference field="9" count="0"/>
        </references>
      </pivotArea>
    </format>
    <format dxfId="1113">
      <pivotArea dataOnly="0" labelOnly="1" grandRow="1" outline="0" fieldPosition="0"/>
    </format>
    <format dxfId="1114">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D984A60-A661-4FC2-BF97-63D873DEDBEF}" name="PivotTable7"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rowHeaderCaption="Month">
  <location ref="A62:B75" firstHeaderRow="1" firstDataRow="1" firstDataCol="1"/>
  <pivotFields count="13">
    <pivotField numFmtId="14" showAll="0">
      <items count="274">
        <item x="241"/>
        <item x="256"/>
        <item x="73"/>
        <item x="230"/>
        <item x="86"/>
        <item x="93"/>
        <item x="34"/>
        <item x="267"/>
        <item x="226"/>
        <item x="257"/>
        <item x="114"/>
        <item x="41"/>
        <item x="97"/>
        <item x="265"/>
        <item x="4"/>
        <item x="63"/>
        <item x="87"/>
        <item x="194"/>
        <item x="225"/>
        <item x="272"/>
        <item x="40"/>
        <item x="263"/>
        <item x="8"/>
        <item x="183"/>
        <item x="187"/>
        <item x="89"/>
        <item x="213"/>
        <item x="137"/>
        <item x="76"/>
        <item x="72"/>
        <item x="182"/>
        <item x="150"/>
        <item x="185"/>
        <item x="100"/>
        <item x="170"/>
        <item x="140"/>
        <item x="2"/>
        <item x="179"/>
        <item x="12"/>
        <item x="200"/>
        <item x="148"/>
        <item x="192"/>
        <item x="9"/>
        <item x="125"/>
        <item x="68"/>
        <item x="243"/>
        <item x="190"/>
        <item x="46"/>
        <item x="158"/>
        <item x="207"/>
        <item x="212"/>
        <item x="95"/>
        <item x="173"/>
        <item x="233"/>
        <item x="56"/>
        <item x="106"/>
        <item x="168"/>
        <item x="108"/>
        <item x="14"/>
        <item x="16"/>
        <item x="65"/>
        <item x="262"/>
        <item x="220"/>
        <item x="159"/>
        <item x="57"/>
        <item x="215"/>
        <item x="85"/>
        <item x="126"/>
        <item x="44"/>
        <item x="18"/>
        <item x="128"/>
        <item x="155"/>
        <item x="36"/>
        <item x="3"/>
        <item x="198"/>
        <item x="153"/>
        <item x="205"/>
        <item x="223"/>
        <item x="115"/>
        <item x="119"/>
        <item x="116"/>
        <item x="251"/>
        <item x="218"/>
        <item x="113"/>
        <item x="69"/>
        <item x="236"/>
        <item x="164"/>
        <item x="124"/>
        <item x="216"/>
        <item x="228"/>
        <item x="62"/>
        <item x="138"/>
        <item x="122"/>
        <item x="130"/>
        <item x="259"/>
        <item x="165"/>
        <item x="6"/>
        <item x="39"/>
        <item x="268"/>
        <item x="90"/>
        <item x="254"/>
        <item x="22"/>
        <item x="109"/>
        <item x="139"/>
        <item x="146"/>
        <item x="5"/>
        <item x="88"/>
        <item x="11"/>
        <item x="29"/>
        <item x="206"/>
        <item x="59"/>
        <item x="266"/>
        <item x="45"/>
        <item x="132"/>
        <item x="135"/>
        <item x="91"/>
        <item x="64"/>
        <item x="171"/>
        <item x="264"/>
        <item x="23"/>
        <item x="80"/>
        <item x="37"/>
        <item x="33"/>
        <item x="237"/>
        <item x="71"/>
        <item x="15"/>
        <item x="234"/>
        <item x="94"/>
        <item x="152"/>
        <item x="131"/>
        <item x="270"/>
        <item x="121"/>
        <item x="242"/>
        <item x="154"/>
        <item x="133"/>
        <item x="260"/>
        <item x="166"/>
        <item x="219"/>
        <item x="244"/>
        <item x="197"/>
        <item x="193"/>
        <item x="53"/>
        <item x="169"/>
        <item x="163"/>
        <item x="156"/>
        <item x="54"/>
        <item x="184"/>
        <item x="202"/>
        <item x="247"/>
        <item x="157"/>
        <item x="99"/>
        <item x="43"/>
        <item x="191"/>
        <item x="27"/>
        <item x="208"/>
        <item x="161"/>
        <item x="102"/>
        <item x="110"/>
        <item x="66"/>
        <item x="101"/>
        <item x="30"/>
        <item x="61"/>
        <item x="252"/>
        <item x="209"/>
        <item x="221"/>
        <item x="67"/>
        <item x="50"/>
        <item x="42"/>
        <item x="160"/>
        <item x="24"/>
        <item x="111"/>
        <item x="104"/>
        <item x="269"/>
        <item x="118"/>
        <item x="224"/>
        <item x="117"/>
        <item x="123"/>
        <item x="217"/>
        <item x="203"/>
        <item x="60"/>
        <item x="82"/>
        <item x="246"/>
        <item x="172"/>
        <item x="112"/>
        <item x="255"/>
        <item x="31"/>
        <item x="51"/>
        <item x="17"/>
        <item x="58"/>
        <item x="79"/>
        <item x="0"/>
        <item x="204"/>
        <item x="142"/>
        <item x="177"/>
        <item x="211"/>
        <item x="103"/>
        <item x="248"/>
        <item x="188"/>
        <item x="120"/>
        <item x="74"/>
        <item x="239"/>
        <item x="249"/>
        <item x="253"/>
        <item x="49"/>
        <item x="175"/>
        <item x="47"/>
        <item x="232"/>
        <item x="25"/>
        <item x="92"/>
        <item x="105"/>
        <item x="134"/>
        <item x="174"/>
        <item x="32"/>
        <item x="55"/>
        <item x="210"/>
        <item x="162"/>
        <item x="149"/>
        <item x="21"/>
        <item x="151"/>
        <item x="271"/>
        <item x="1"/>
        <item x="229"/>
        <item x="144"/>
        <item x="178"/>
        <item x="48"/>
        <item x="13"/>
        <item x="136"/>
        <item x="214"/>
        <item x="181"/>
        <item x="98"/>
        <item x="83"/>
        <item x="245"/>
        <item x="231"/>
        <item x="222"/>
        <item x="258"/>
        <item x="52"/>
        <item x="107"/>
        <item x="167"/>
        <item x="261"/>
        <item x="141"/>
        <item x="199"/>
        <item x="26"/>
        <item x="7"/>
        <item x="250"/>
        <item x="147"/>
        <item x="238"/>
        <item x="196"/>
        <item x="81"/>
        <item x="28"/>
        <item x="176"/>
        <item x="195"/>
        <item x="240"/>
        <item x="96"/>
        <item x="235"/>
        <item x="75"/>
        <item x="180"/>
        <item x="19"/>
        <item x="10"/>
        <item x="145"/>
        <item x="227"/>
        <item x="77"/>
        <item x="20"/>
        <item x="143"/>
        <item x="78"/>
        <item x="127"/>
        <item x="129"/>
        <item x="201"/>
        <item x="38"/>
        <item x="189"/>
        <item x="186"/>
        <item x="84"/>
        <item x="70"/>
        <item x="35"/>
        <item t="default"/>
      </items>
    </pivotField>
    <pivotField showAll="0">
      <items count="5">
        <item x="1"/>
        <item x="0"/>
        <item x="2"/>
        <item x="3"/>
        <item t="default"/>
      </items>
    </pivotField>
    <pivotField showAll="0"/>
    <pivotField showAll="0">
      <items count="26">
        <item x="11"/>
        <item x="20"/>
        <item x="7"/>
        <item x="14"/>
        <item x="13"/>
        <item x="4"/>
        <item x="17"/>
        <item x="9"/>
        <item x="1"/>
        <item x="21"/>
        <item x="10"/>
        <item x="22"/>
        <item x="12"/>
        <item x="2"/>
        <item x="23"/>
        <item x="18"/>
        <item x="15"/>
        <item x="8"/>
        <item x="0"/>
        <item x="6"/>
        <item x="3"/>
        <item x="16"/>
        <item x="5"/>
        <item x="24"/>
        <item x="19"/>
        <item t="default"/>
      </items>
    </pivotField>
    <pivotField showAll="0"/>
    <pivotField showAll="0">
      <items count="5">
        <item x="3"/>
        <item x="2"/>
        <item x="1"/>
        <item x="0"/>
        <item t="default"/>
      </items>
    </pivotField>
    <pivotField numFmtId="1" showAll="0"/>
    <pivotField numFmtId="1" showAll="0"/>
    <pivotField dataField="1" numFmtId="1" showAll="0"/>
    <pivotField showAll="0">
      <items count="9">
        <item x="5"/>
        <item x="2"/>
        <item x="6"/>
        <item x="7"/>
        <item x="1"/>
        <item x="0"/>
        <item x="4"/>
        <item x="3"/>
        <item t="default"/>
      </items>
    </pivotField>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sortType="ascending">
      <items count="15">
        <item sd="0" x="0"/>
        <item sd="0" x="1"/>
        <item sd="0" x="2"/>
        <item sd="0" x="3"/>
        <item sd="0" x="4"/>
        <item sd="0" x="5"/>
        <item sd="0" x="6"/>
        <item sd="0" x="7"/>
        <item sd="0" x="8"/>
        <item sd="0" x="9"/>
        <item sd="0" x="10"/>
        <item sd="0" x="11"/>
        <item sd="0" x="12"/>
        <item sd="0" x="13"/>
        <item t="default"/>
      </items>
      <autoSortScope>
        <pivotArea dataOnly="0" outline="0" fieldPosition="0">
          <references count="1">
            <reference field="4294967294" count="1" selected="0">
              <x v="0"/>
            </reference>
          </references>
        </pivotArea>
      </autoSortScope>
    </pivotField>
  </pivotFields>
  <rowFields count="1">
    <field x="12"/>
  </rowFields>
  <rowItems count="13">
    <i>
      <x v="4"/>
    </i>
    <i>
      <x v="6"/>
    </i>
    <i>
      <x v="10"/>
    </i>
    <i>
      <x v="12"/>
    </i>
    <i>
      <x v="11"/>
    </i>
    <i>
      <x v="3"/>
    </i>
    <i>
      <x v="8"/>
    </i>
    <i>
      <x v="5"/>
    </i>
    <i>
      <x v="1"/>
    </i>
    <i>
      <x v="2"/>
    </i>
    <i>
      <x v="7"/>
    </i>
    <i>
      <x v="9"/>
    </i>
    <i t="grand">
      <x/>
    </i>
  </rowItems>
  <colItems count="1">
    <i/>
  </colItems>
  <dataFields count="1">
    <dataField name="SalesAmt" fld="8" baseField="0" baseItem="0"/>
  </dataFields>
  <formats count="6">
    <format dxfId="1120">
      <pivotArea type="all" dataOnly="0" outline="0" fieldPosition="0"/>
    </format>
    <format dxfId="1119">
      <pivotArea outline="0" collapsedLevelsAreSubtotals="1" fieldPosition="0"/>
    </format>
    <format dxfId="1118">
      <pivotArea field="12" type="button" dataOnly="0" labelOnly="1" outline="0" axis="axisRow" fieldPosition="0"/>
    </format>
    <format dxfId="1117">
      <pivotArea dataOnly="0" labelOnly="1" fieldPosition="0">
        <references count="1">
          <reference field="12" count="12">
            <x v="1"/>
            <x v="2"/>
            <x v="3"/>
            <x v="4"/>
            <x v="5"/>
            <x v="6"/>
            <x v="7"/>
            <x v="8"/>
            <x v="9"/>
            <x v="10"/>
            <x v="11"/>
            <x v="12"/>
          </reference>
        </references>
      </pivotArea>
    </format>
    <format dxfId="1116">
      <pivotArea dataOnly="0" labelOnly="1" grandRow="1" outline="0" fieldPosition="0"/>
    </format>
    <format dxfId="111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3D76675-FC85-4A3F-AB3B-F4A1F0C63B0A}" name="PivotTable6"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rowHeaderCaption="Production">
  <location ref="A40:B46" firstHeaderRow="1" firstDataRow="1" firstDataCol="1"/>
  <pivotFields count="13">
    <pivotField numFmtId="14" showAll="0">
      <items count="274">
        <item x="241"/>
        <item x="256"/>
        <item x="73"/>
        <item x="230"/>
        <item x="86"/>
        <item x="93"/>
        <item x="34"/>
        <item x="267"/>
        <item x="226"/>
        <item x="257"/>
        <item x="114"/>
        <item x="41"/>
        <item x="97"/>
        <item x="265"/>
        <item x="4"/>
        <item x="63"/>
        <item x="87"/>
        <item x="194"/>
        <item x="225"/>
        <item x="272"/>
        <item x="40"/>
        <item x="263"/>
        <item x="8"/>
        <item x="183"/>
        <item x="187"/>
        <item x="89"/>
        <item x="213"/>
        <item x="137"/>
        <item x="76"/>
        <item x="72"/>
        <item x="182"/>
        <item x="150"/>
        <item x="185"/>
        <item x="100"/>
        <item x="170"/>
        <item x="140"/>
        <item x="2"/>
        <item x="179"/>
        <item x="12"/>
        <item x="200"/>
        <item x="148"/>
        <item x="192"/>
        <item x="9"/>
        <item x="125"/>
        <item x="68"/>
        <item x="243"/>
        <item x="190"/>
        <item x="46"/>
        <item x="158"/>
        <item x="207"/>
        <item x="212"/>
        <item x="95"/>
        <item x="173"/>
        <item x="233"/>
        <item x="56"/>
        <item x="106"/>
        <item x="168"/>
        <item x="108"/>
        <item x="14"/>
        <item x="16"/>
        <item x="65"/>
        <item x="262"/>
        <item x="220"/>
        <item x="159"/>
        <item x="57"/>
        <item x="215"/>
        <item x="85"/>
        <item x="126"/>
        <item x="44"/>
        <item x="18"/>
        <item x="128"/>
        <item x="155"/>
        <item x="36"/>
        <item x="3"/>
        <item x="198"/>
        <item x="153"/>
        <item x="205"/>
        <item x="223"/>
        <item x="115"/>
        <item x="119"/>
        <item x="116"/>
        <item x="251"/>
        <item x="218"/>
        <item x="113"/>
        <item x="69"/>
        <item x="236"/>
        <item x="164"/>
        <item x="124"/>
        <item x="216"/>
        <item x="228"/>
        <item x="62"/>
        <item x="138"/>
        <item x="122"/>
        <item x="130"/>
        <item x="259"/>
        <item x="165"/>
        <item x="6"/>
        <item x="39"/>
        <item x="268"/>
        <item x="90"/>
        <item x="254"/>
        <item x="22"/>
        <item x="109"/>
        <item x="139"/>
        <item x="146"/>
        <item x="5"/>
        <item x="88"/>
        <item x="11"/>
        <item x="29"/>
        <item x="206"/>
        <item x="59"/>
        <item x="266"/>
        <item x="45"/>
        <item x="132"/>
        <item x="135"/>
        <item x="91"/>
        <item x="64"/>
        <item x="171"/>
        <item x="264"/>
        <item x="23"/>
        <item x="80"/>
        <item x="37"/>
        <item x="33"/>
        <item x="237"/>
        <item x="71"/>
        <item x="15"/>
        <item x="234"/>
        <item x="94"/>
        <item x="152"/>
        <item x="131"/>
        <item x="270"/>
        <item x="121"/>
        <item x="242"/>
        <item x="154"/>
        <item x="133"/>
        <item x="260"/>
        <item x="166"/>
        <item x="219"/>
        <item x="244"/>
        <item x="197"/>
        <item x="193"/>
        <item x="53"/>
        <item x="169"/>
        <item x="163"/>
        <item x="156"/>
        <item x="54"/>
        <item x="184"/>
        <item x="202"/>
        <item x="247"/>
        <item x="157"/>
        <item x="99"/>
        <item x="43"/>
        <item x="191"/>
        <item x="27"/>
        <item x="208"/>
        <item x="161"/>
        <item x="102"/>
        <item x="110"/>
        <item x="66"/>
        <item x="101"/>
        <item x="30"/>
        <item x="61"/>
        <item x="252"/>
        <item x="209"/>
        <item x="221"/>
        <item x="67"/>
        <item x="50"/>
        <item x="42"/>
        <item x="160"/>
        <item x="24"/>
        <item x="111"/>
        <item x="104"/>
        <item x="269"/>
        <item x="118"/>
        <item x="224"/>
        <item x="117"/>
        <item x="123"/>
        <item x="217"/>
        <item x="203"/>
        <item x="60"/>
        <item x="82"/>
        <item x="246"/>
        <item x="172"/>
        <item x="112"/>
        <item x="255"/>
        <item x="31"/>
        <item x="51"/>
        <item x="17"/>
        <item x="58"/>
        <item x="79"/>
        <item x="0"/>
        <item x="204"/>
        <item x="142"/>
        <item x="177"/>
        <item x="211"/>
        <item x="103"/>
        <item x="248"/>
        <item x="188"/>
        <item x="120"/>
        <item x="74"/>
        <item x="239"/>
        <item x="249"/>
        <item x="253"/>
        <item x="49"/>
        <item x="175"/>
        <item x="47"/>
        <item x="232"/>
        <item x="25"/>
        <item x="92"/>
        <item x="105"/>
        <item x="134"/>
        <item x="174"/>
        <item x="32"/>
        <item x="55"/>
        <item x="210"/>
        <item x="162"/>
        <item x="149"/>
        <item x="21"/>
        <item x="151"/>
        <item x="271"/>
        <item x="1"/>
        <item x="229"/>
        <item x="144"/>
        <item x="178"/>
        <item x="48"/>
        <item x="13"/>
        <item x="136"/>
        <item x="214"/>
        <item x="181"/>
        <item x="98"/>
        <item x="83"/>
        <item x="245"/>
        <item x="231"/>
        <item x="222"/>
        <item x="258"/>
        <item x="52"/>
        <item x="107"/>
        <item x="167"/>
        <item x="261"/>
        <item x="141"/>
        <item x="199"/>
        <item x="26"/>
        <item x="7"/>
        <item x="250"/>
        <item x="147"/>
        <item x="238"/>
        <item x="196"/>
        <item x="81"/>
        <item x="28"/>
        <item x="176"/>
        <item x="195"/>
        <item x="240"/>
        <item x="96"/>
        <item x="235"/>
        <item x="75"/>
        <item x="180"/>
        <item x="19"/>
        <item x="10"/>
        <item x="145"/>
        <item x="227"/>
        <item x="77"/>
        <item x="20"/>
        <item x="143"/>
        <item x="78"/>
        <item x="127"/>
        <item x="129"/>
        <item x="201"/>
        <item x="38"/>
        <item x="189"/>
        <item x="186"/>
        <item x="84"/>
        <item x="70"/>
        <item x="35"/>
        <item t="default"/>
      </items>
    </pivotField>
    <pivotField showAll="0">
      <items count="5">
        <item x="1"/>
        <item x="0"/>
        <item x="2"/>
        <item x="3"/>
        <item t="default"/>
      </items>
    </pivotField>
    <pivotField showAll="0"/>
    <pivotField showAll="0">
      <items count="26">
        <item x="11"/>
        <item x="20"/>
        <item x="7"/>
        <item x="14"/>
        <item x="13"/>
        <item x="4"/>
        <item x="17"/>
        <item x="9"/>
        <item x="1"/>
        <item x="21"/>
        <item x="10"/>
        <item x="22"/>
        <item x="12"/>
        <item x="2"/>
        <item x="23"/>
        <item x="18"/>
        <item x="15"/>
        <item x="8"/>
        <item x="0"/>
        <item x="6"/>
        <item x="3"/>
        <item x="16"/>
        <item x="5"/>
        <item x="24"/>
        <item x="19"/>
        <item t="default"/>
      </items>
    </pivotField>
    <pivotField axis="axisRow" showAll="0" measureFilter="1" sortType="descending">
      <items count="16">
        <item x="4"/>
        <item x="0"/>
        <item x="8"/>
        <item x="11"/>
        <item x="13"/>
        <item x="5"/>
        <item x="7"/>
        <item x="10"/>
        <item x="6"/>
        <item x="2"/>
        <item x="9"/>
        <item x="1"/>
        <item x="12"/>
        <item x="3"/>
        <item x="14"/>
        <item t="default"/>
      </items>
      <autoSortScope>
        <pivotArea dataOnly="0" outline="0" fieldPosition="0">
          <references count="1">
            <reference field="4294967294" count="1" selected="0">
              <x v="0"/>
            </reference>
          </references>
        </pivotArea>
      </autoSortScope>
    </pivotField>
    <pivotField showAll="0">
      <items count="5">
        <item x="3"/>
        <item x="2"/>
        <item x="1"/>
        <item x="0"/>
        <item t="default"/>
      </items>
    </pivotField>
    <pivotField numFmtId="1" showAll="0"/>
    <pivotField numFmtId="1" showAll="0"/>
    <pivotField dataField="1" numFmtId="1" showAll="0"/>
    <pivotField showAll="0">
      <items count="9">
        <item x="5"/>
        <item x="2"/>
        <item x="6"/>
        <item x="7"/>
        <item x="1"/>
        <item x="0"/>
        <item x="4"/>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4"/>
  </rowFields>
  <rowItems count="6">
    <i>
      <x v="9"/>
    </i>
    <i>
      <x v="11"/>
    </i>
    <i>
      <x v="4"/>
    </i>
    <i>
      <x v="3"/>
    </i>
    <i>
      <x v="13"/>
    </i>
    <i t="grand">
      <x/>
    </i>
  </rowItems>
  <colItems count="1">
    <i/>
  </colItems>
  <dataFields count="1">
    <dataField name="SalesAmount" fld="8" baseField="0" baseItem="0"/>
  </dataFields>
  <formats count="6">
    <format dxfId="1126">
      <pivotArea type="all" dataOnly="0" outline="0" fieldPosition="0"/>
    </format>
    <format dxfId="1125">
      <pivotArea outline="0" collapsedLevelsAreSubtotals="1" fieldPosition="0"/>
    </format>
    <format dxfId="1124">
      <pivotArea field="4" type="button" dataOnly="0" labelOnly="1" outline="0" axis="axisRow" fieldPosition="0"/>
    </format>
    <format dxfId="1123">
      <pivotArea dataOnly="0" labelOnly="1" fieldPosition="0">
        <references count="1">
          <reference field="4" count="0"/>
        </references>
      </pivotArea>
    </format>
    <format dxfId="1122">
      <pivotArea dataOnly="0" labelOnly="1" grandRow="1" outline="0" fieldPosition="0"/>
    </format>
    <format dxfId="1121">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9D4091-EDA9-44ED-8757-8D526F91492B}" name="PivotTable5" cacheId="6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Region">
  <location ref="A23:B28" firstHeaderRow="1" firstDataRow="1" firstDataCol="1"/>
  <pivotFields count="13">
    <pivotField numFmtId="14" showAll="0">
      <items count="274">
        <item x="241"/>
        <item x="256"/>
        <item x="73"/>
        <item x="230"/>
        <item x="86"/>
        <item x="93"/>
        <item x="34"/>
        <item x="267"/>
        <item x="226"/>
        <item x="257"/>
        <item x="114"/>
        <item x="41"/>
        <item x="97"/>
        <item x="265"/>
        <item x="4"/>
        <item x="63"/>
        <item x="87"/>
        <item x="194"/>
        <item x="225"/>
        <item x="272"/>
        <item x="40"/>
        <item x="263"/>
        <item x="8"/>
        <item x="183"/>
        <item x="187"/>
        <item x="89"/>
        <item x="213"/>
        <item x="137"/>
        <item x="76"/>
        <item x="72"/>
        <item x="182"/>
        <item x="150"/>
        <item x="185"/>
        <item x="100"/>
        <item x="170"/>
        <item x="140"/>
        <item x="2"/>
        <item x="179"/>
        <item x="12"/>
        <item x="200"/>
        <item x="148"/>
        <item x="192"/>
        <item x="9"/>
        <item x="125"/>
        <item x="68"/>
        <item x="243"/>
        <item x="190"/>
        <item x="46"/>
        <item x="158"/>
        <item x="207"/>
        <item x="212"/>
        <item x="95"/>
        <item x="173"/>
        <item x="233"/>
        <item x="56"/>
        <item x="106"/>
        <item x="168"/>
        <item x="108"/>
        <item x="14"/>
        <item x="16"/>
        <item x="65"/>
        <item x="262"/>
        <item x="220"/>
        <item x="159"/>
        <item x="57"/>
        <item x="215"/>
        <item x="85"/>
        <item x="126"/>
        <item x="44"/>
        <item x="18"/>
        <item x="128"/>
        <item x="155"/>
        <item x="36"/>
        <item x="3"/>
        <item x="198"/>
        <item x="153"/>
        <item x="205"/>
        <item x="223"/>
        <item x="115"/>
        <item x="119"/>
        <item x="116"/>
        <item x="251"/>
        <item x="218"/>
        <item x="113"/>
        <item x="69"/>
        <item x="236"/>
        <item x="164"/>
        <item x="124"/>
        <item x="216"/>
        <item x="228"/>
        <item x="62"/>
        <item x="138"/>
        <item x="122"/>
        <item x="130"/>
        <item x="259"/>
        <item x="165"/>
        <item x="6"/>
        <item x="39"/>
        <item x="268"/>
        <item x="90"/>
        <item x="254"/>
        <item x="22"/>
        <item x="109"/>
        <item x="139"/>
        <item x="146"/>
        <item x="5"/>
        <item x="88"/>
        <item x="11"/>
        <item x="29"/>
        <item x="206"/>
        <item x="59"/>
        <item x="266"/>
        <item x="45"/>
        <item x="132"/>
        <item x="135"/>
        <item x="91"/>
        <item x="64"/>
        <item x="171"/>
        <item x="264"/>
        <item x="23"/>
        <item x="80"/>
        <item x="37"/>
        <item x="33"/>
        <item x="237"/>
        <item x="71"/>
        <item x="15"/>
        <item x="234"/>
        <item x="94"/>
        <item x="152"/>
        <item x="131"/>
        <item x="270"/>
        <item x="121"/>
        <item x="242"/>
        <item x="154"/>
        <item x="133"/>
        <item x="260"/>
        <item x="166"/>
        <item x="219"/>
        <item x="244"/>
        <item x="197"/>
        <item x="193"/>
        <item x="53"/>
        <item x="169"/>
        <item x="163"/>
        <item x="156"/>
        <item x="54"/>
        <item x="184"/>
        <item x="202"/>
        <item x="247"/>
        <item x="157"/>
        <item x="99"/>
        <item x="43"/>
        <item x="191"/>
        <item x="27"/>
        <item x="208"/>
        <item x="161"/>
        <item x="102"/>
        <item x="110"/>
        <item x="66"/>
        <item x="101"/>
        <item x="30"/>
        <item x="61"/>
        <item x="252"/>
        <item x="209"/>
        <item x="221"/>
        <item x="67"/>
        <item x="50"/>
        <item x="42"/>
        <item x="160"/>
        <item x="24"/>
        <item x="111"/>
        <item x="104"/>
        <item x="269"/>
        <item x="118"/>
        <item x="224"/>
        <item x="117"/>
        <item x="123"/>
        <item x="217"/>
        <item x="203"/>
        <item x="60"/>
        <item x="82"/>
        <item x="246"/>
        <item x="172"/>
        <item x="112"/>
        <item x="255"/>
        <item x="31"/>
        <item x="51"/>
        <item x="17"/>
        <item x="58"/>
        <item x="79"/>
        <item x="0"/>
        <item x="204"/>
        <item x="142"/>
        <item x="177"/>
        <item x="211"/>
        <item x="103"/>
        <item x="248"/>
        <item x="188"/>
        <item x="120"/>
        <item x="74"/>
        <item x="239"/>
        <item x="249"/>
        <item x="253"/>
        <item x="49"/>
        <item x="175"/>
        <item x="47"/>
        <item x="232"/>
        <item x="25"/>
        <item x="92"/>
        <item x="105"/>
        <item x="134"/>
        <item x="174"/>
        <item x="32"/>
        <item x="55"/>
        <item x="210"/>
        <item x="162"/>
        <item x="149"/>
        <item x="21"/>
        <item x="151"/>
        <item x="271"/>
        <item x="1"/>
        <item x="229"/>
        <item x="144"/>
        <item x="178"/>
        <item x="48"/>
        <item x="13"/>
        <item x="136"/>
        <item x="214"/>
        <item x="181"/>
        <item x="98"/>
        <item x="83"/>
        <item x="245"/>
        <item x="231"/>
        <item x="222"/>
        <item x="258"/>
        <item x="52"/>
        <item x="107"/>
        <item x="167"/>
        <item x="261"/>
        <item x="141"/>
        <item x="199"/>
        <item x="26"/>
        <item x="7"/>
        <item x="250"/>
        <item x="147"/>
        <item x="238"/>
        <item x="196"/>
        <item x="81"/>
        <item x="28"/>
        <item x="176"/>
        <item x="195"/>
        <item x="240"/>
        <item x="96"/>
        <item x="235"/>
        <item x="75"/>
        <item x="180"/>
        <item x="19"/>
        <item x="10"/>
        <item x="145"/>
        <item x="227"/>
        <item x="77"/>
        <item x="20"/>
        <item x="143"/>
        <item x="78"/>
        <item x="127"/>
        <item x="129"/>
        <item x="201"/>
        <item x="38"/>
        <item x="189"/>
        <item x="186"/>
        <item x="84"/>
        <item x="70"/>
        <item x="35"/>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showAll="0">
      <items count="26">
        <item x="11"/>
        <item x="20"/>
        <item x="7"/>
        <item x="14"/>
        <item x="13"/>
        <item x="4"/>
        <item x="17"/>
        <item x="9"/>
        <item x="1"/>
        <item x="21"/>
        <item x="10"/>
        <item x="22"/>
        <item x="12"/>
        <item x="2"/>
        <item x="23"/>
        <item x="18"/>
        <item x="15"/>
        <item x="8"/>
        <item x="0"/>
        <item x="6"/>
        <item x="3"/>
        <item x="16"/>
        <item x="5"/>
        <item x="24"/>
        <item x="19"/>
        <item t="default"/>
      </items>
    </pivotField>
    <pivotField showAll="0"/>
    <pivotField showAll="0">
      <items count="5">
        <item x="3"/>
        <item x="2"/>
        <item x="1"/>
        <item x="0"/>
        <item t="default"/>
      </items>
    </pivotField>
    <pivotField numFmtId="1" showAll="0"/>
    <pivotField numFmtId="1" showAll="0"/>
    <pivotField dataField="1" numFmtId="1" showAll="0"/>
    <pivotField showAll="0">
      <items count="9">
        <item x="5"/>
        <item x="2"/>
        <item x="6"/>
        <item x="7"/>
        <item x="1"/>
        <item x="0"/>
        <item x="4"/>
        <item x="3"/>
        <item t="default"/>
      </items>
    </pivotField>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5">
    <i>
      <x v="2"/>
    </i>
    <i>
      <x v="3"/>
    </i>
    <i>
      <x v="1"/>
    </i>
    <i>
      <x/>
    </i>
    <i t="grand">
      <x/>
    </i>
  </rowItems>
  <colItems count="1">
    <i/>
  </colItems>
  <dataFields count="1">
    <dataField name="Sales" fld="8" showDataAs="percentOfTotal" baseField="0" baseItem="0" numFmtId="10"/>
  </dataFields>
  <formats count="7">
    <format dxfId="1132">
      <pivotArea type="all" dataOnly="0" outline="0" fieldPosition="0"/>
    </format>
    <format dxfId="1131">
      <pivotArea outline="0" collapsedLevelsAreSubtotals="1" fieldPosition="0"/>
    </format>
    <format dxfId="1130">
      <pivotArea field="1" type="button" dataOnly="0" labelOnly="1" outline="0" axis="axisRow" fieldPosition="0"/>
    </format>
    <format dxfId="1129">
      <pivotArea dataOnly="0" labelOnly="1" fieldPosition="0">
        <references count="1">
          <reference field="1" count="0"/>
        </references>
      </pivotArea>
    </format>
    <format dxfId="1128">
      <pivotArea dataOnly="0" labelOnly="1" grandRow="1" outline="0" fieldPosition="0"/>
    </format>
    <format dxfId="1127">
      <pivotArea dataOnly="0" labelOnly="1" outline="0" axis="axisValues" fieldPosition="0"/>
    </format>
    <format dxfId="1107">
      <pivotArea outline="0" fieldPosition="0">
        <references count="1">
          <reference field="4294967294" count="1">
            <x v="0"/>
          </reference>
        </references>
      </pivotArea>
    </format>
  </format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3"/>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0"/>
          </reference>
          <reference field="1" count="1" selected="0">
            <x v="0"/>
          </reference>
        </references>
      </pivotArea>
    </chartFormat>
    <chartFormat chart="13"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FC76D0B-74C8-4085-9122-924A0DC4908E}" sourceName="Region">
  <pivotTables>
    <pivotTable tabId="2" name="PivotTable5"/>
    <pivotTable tabId="2" name="PivotTable12"/>
    <pivotTable tabId="2" name="PivotTable6"/>
    <pivotTable tabId="2" name="PivotTable7"/>
    <pivotTable tabId="2" name="PivotTable8"/>
    <pivotTable tabId="2" name="PivotTable9"/>
  </pivotTables>
  <data>
    <tabular pivotCacheId="934372448">
      <items count="4">
        <i x="1" s="1"/>
        <i x="0"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6677B1C0-BF1C-442B-8A2F-C3AF984B8D7B}" sourceName="City">
  <pivotTables>
    <pivotTable tabId="2" name="PivotTable5"/>
    <pivotTable tabId="2" name="PivotTable12"/>
    <pivotTable tabId="2" name="PivotTable6"/>
    <pivotTable tabId="2" name="PivotTable7"/>
    <pivotTable tabId="2" name="PivotTable8"/>
    <pivotTable tabId="2" name="PivotTable9"/>
  </pivotTables>
  <data>
    <tabular pivotCacheId="934372448">
      <items count="25">
        <i x="11" s="1"/>
        <i x="20" s="1"/>
        <i x="7" s="1"/>
        <i x="14" s="1"/>
        <i x="13" s="1"/>
        <i x="4" s="1"/>
        <i x="17" s="1"/>
        <i x="9" s="1"/>
        <i x="1" s="1"/>
        <i x="21" s="1"/>
        <i x="10" s="1"/>
        <i x="22" s="1"/>
        <i x="12" s="1"/>
        <i x="2" s="1"/>
        <i x="23" s="1"/>
        <i x="18" s="1"/>
        <i x="15" s="1"/>
        <i x="8" s="1"/>
        <i x="0" s="1"/>
        <i x="6" s="1"/>
        <i x="3" s="1"/>
        <i x="16" s="1"/>
        <i x="5" s="1"/>
        <i x="24" s="1"/>
        <i x="19"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E5FA2582-A4F6-4322-BBEE-A4F9ACC4B5DB}" sourceName="Category">
  <pivotTables>
    <pivotTable tabId="2" name="PivotTable5"/>
    <pivotTable tabId="2" name="PivotTable12"/>
    <pivotTable tabId="2" name="PivotTable6"/>
    <pivotTable tabId="2" name="PivotTable7"/>
    <pivotTable tabId="2" name="PivotTable8"/>
    <pivotTable tabId="2" name="PivotTable9"/>
  </pivotTables>
  <data>
    <tabular pivotCacheId="934372448">
      <items count="4">
        <i x="3" s="1"/>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7D09C496-60ED-4947-AB75-D25AEF6456DC}" sourceName="Salesperson">
  <pivotTables>
    <pivotTable tabId="2" name="PivotTable5"/>
    <pivotTable tabId="2" name="PivotTable12"/>
    <pivotTable tabId="2" name="PivotTable6"/>
    <pivotTable tabId="2" name="PivotTable7"/>
    <pivotTable tabId="2" name="PivotTable8"/>
    <pivotTable tabId="2" name="PivotTable9"/>
  </pivotTables>
  <data>
    <tabular pivotCacheId="934372448">
      <items count="8">
        <i x="5" s="1"/>
        <i x="2" s="1"/>
        <i x="6" s="1"/>
        <i x="7" s="1"/>
        <i x="1" s="1"/>
        <i x="0"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95117C5A-2E8E-47C1-A4F1-AD1DA80ED23F}" sourceName="Months (Date)">
  <pivotTables>
    <pivotTable tabId="2" name="PivotTable5"/>
    <pivotTable tabId="2" name="PivotTable12"/>
    <pivotTable tabId="2" name="PivotTable6"/>
    <pivotTable tabId="2" name="PivotTable7"/>
    <pivotTable tabId="2" name="PivotTable8"/>
    <pivotTable tabId="2" name="PivotTable9"/>
  </pivotTables>
  <data>
    <tabular pivotCacheId="934372448">
      <items count="14">
        <i x="1" s="1"/>
        <i x="2" s="1"/>
        <i x="3" s="1"/>
        <i x="4" s="1"/>
        <i x="5" s="1"/>
        <i x="6" s="1"/>
        <i x="7" s="1"/>
        <i x="8" s="1"/>
        <i x="9" s="1"/>
        <i x="10" s="1"/>
        <i x="11" s="1"/>
        <i x="12" s="1"/>
        <i x="0" s="1" nd="1"/>
        <i x="1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EE03EBE4-993F-4879-9A98-B21D6B609F67}" cache="Slicer_Region" caption="Region" rowHeight="234950"/>
  <slicer name="City" xr10:uid="{C9F3366A-0CB3-4D60-B357-659B7EEA6639}" cache="Slicer_City" caption="City" startItem="18" rowHeight="234950"/>
  <slicer name="Category" xr10:uid="{5D00034D-8B67-481D-A9ED-4E7956CBC5A2}" cache="Slicer_Category" caption="Category" rowHeight="234950"/>
  <slicer name="Salesperson" xr10:uid="{CE6FA139-E407-42D8-9457-156C14F8256E}" cache="Slicer_Salesperson" caption="Salesperson" rowHeight="234950"/>
  <slicer name="Months (Date)" xr10:uid="{84AA9150-413A-4E17-84C6-83F1F426F990}" cache="Slicer_Months__Date" caption="Months (Dat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A0810C2-6AB2-4175-A594-F1C697A4872F}" name="Table1" displayName="Table1" ref="A1:K501" totalsRowShown="0" headerRowDxfId="1133" headerRowBorderDxfId="1138" tableBorderDxfId="1139">
  <tableColumns count="11">
    <tableColumn id="1" xr3:uid="{B30F052B-F0A7-4165-8BA8-3E212EF2F9FE}" name="Date" dataDxfId="1137"/>
    <tableColumn id="2" xr3:uid="{F538F6FA-5A75-4A14-9056-03AE4A37BCE0}" name="Region"/>
    <tableColumn id="3" xr3:uid="{0DDA8BB5-5F74-4067-880F-6A25896CB1FF}" name="State"/>
    <tableColumn id="4" xr3:uid="{D94956E3-6B7D-4292-B079-290AB411D8A2}" name="City"/>
    <tableColumn id="5" xr3:uid="{C4E2E7B7-7BC8-4249-B7A5-86C6902810F7}" name="Product"/>
    <tableColumn id="6" xr3:uid="{00BBDA65-2AB6-4773-BD2A-DDCACA5B3D98}" name="Category"/>
    <tableColumn id="7" xr3:uid="{53BC5D23-4684-4616-A3B7-25339C815141}" name="Quantity" dataDxfId="1136"/>
    <tableColumn id="8" xr3:uid="{D6E0241F-BC87-470A-B47E-C27ED3AD638D}" name="Unit Price" dataDxfId="1135"/>
    <tableColumn id="9" xr3:uid="{B9D3568C-719B-4BF7-B37C-3EB88366F78D}" name="Total Sales" dataDxfId="1134"/>
    <tableColumn id="10" xr3:uid="{353B6387-6DF6-4077-A542-310C3154ED32}" name="Salesperson"/>
    <tableColumn id="11" xr3:uid="{5D0B5570-4FB5-4DEB-A100-169AD6A5DF0C}" name="AllSalesAmt" dataDxfId="1108"/>
  </tableColumns>
  <tableStyleInfo name="TableStyleLight8"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9BF71-7AB4-480B-8B7E-85E61E33D391}">
  <dimension ref="A3:G100"/>
  <sheetViews>
    <sheetView showGridLines="0" topLeftCell="A70" workbookViewId="0">
      <selection activeCell="O63" sqref="O63"/>
    </sheetView>
  </sheetViews>
  <sheetFormatPr defaultRowHeight="14.4" x14ac:dyDescent="0.3"/>
  <cols>
    <col min="1" max="1" width="10.77734375" bestFit="1" customWidth="1"/>
    <col min="2" max="2" width="11.21875" bestFit="1" customWidth="1"/>
    <col min="3" max="5" width="9" bestFit="1" customWidth="1"/>
    <col min="6" max="6" width="10.77734375" bestFit="1" customWidth="1"/>
    <col min="7" max="7" width="17.5546875" bestFit="1" customWidth="1"/>
  </cols>
  <sheetData>
    <row r="3" spans="1:7" x14ac:dyDescent="0.3">
      <c r="A3" s="6"/>
      <c r="B3" s="7"/>
      <c r="C3" s="8"/>
    </row>
    <row r="4" spans="1:7" x14ac:dyDescent="0.3">
      <c r="A4" s="9"/>
      <c r="B4" s="10"/>
      <c r="C4" s="11"/>
    </row>
    <row r="5" spans="1:7" x14ac:dyDescent="0.3">
      <c r="A5" s="9"/>
      <c r="B5" s="10"/>
      <c r="C5" s="11"/>
      <c r="G5" t="s">
        <v>102</v>
      </c>
    </row>
    <row r="6" spans="1:7" x14ac:dyDescent="0.3">
      <c r="A6" s="9"/>
      <c r="B6" s="10"/>
      <c r="C6" s="11"/>
      <c r="G6" s="15">
        <v>76359233</v>
      </c>
    </row>
    <row r="7" spans="1:7" x14ac:dyDescent="0.3">
      <c r="A7" s="9"/>
      <c r="B7" s="10"/>
      <c r="C7" s="11"/>
    </row>
    <row r="8" spans="1:7" x14ac:dyDescent="0.3">
      <c r="A8" s="9"/>
      <c r="B8" s="10"/>
      <c r="C8" s="11"/>
    </row>
    <row r="9" spans="1:7" x14ac:dyDescent="0.3">
      <c r="A9" s="9"/>
      <c r="B9" s="10"/>
      <c r="C9" s="11"/>
    </row>
    <row r="10" spans="1:7" x14ac:dyDescent="0.3">
      <c r="A10" s="9"/>
      <c r="B10" s="10"/>
      <c r="C10" s="11"/>
    </row>
    <row r="11" spans="1:7" x14ac:dyDescent="0.3">
      <c r="A11" s="9"/>
      <c r="B11" s="10"/>
      <c r="C11" s="11"/>
    </row>
    <row r="12" spans="1:7" x14ac:dyDescent="0.3">
      <c r="A12" s="9"/>
      <c r="B12" s="10"/>
      <c r="C12" s="11"/>
    </row>
    <row r="13" spans="1:7" x14ac:dyDescent="0.3">
      <c r="A13" s="9"/>
      <c r="B13" s="10"/>
      <c r="C13" s="11"/>
    </row>
    <row r="14" spans="1:7" x14ac:dyDescent="0.3">
      <c r="A14" s="9"/>
      <c r="B14" s="10"/>
      <c r="C14" s="11"/>
    </row>
    <row r="15" spans="1:7" x14ac:dyDescent="0.3">
      <c r="A15" s="9"/>
      <c r="B15" s="10"/>
      <c r="C15" s="11"/>
    </row>
    <row r="16" spans="1:7" x14ac:dyDescent="0.3">
      <c r="A16" s="9"/>
      <c r="B16" s="10"/>
      <c r="C16" s="11"/>
    </row>
    <row r="17" spans="1:3" x14ac:dyDescent="0.3">
      <c r="A17" s="9"/>
      <c r="B17" s="10"/>
      <c r="C17" s="11"/>
    </row>
    <row r="18" spans="1:3" x14ac:dyDescent="0.3">
      <c r="A18" s="9"/>
      <c r="B18" s="10"/>
      <c r="C18" s="11"/>
    </row>
    <row r="19" spans="1:3" x14ac:dyDescent="0.3">
      <c r="A19" s="9"/>
      <c r="B19" s="10"/>
      <c r="C19" s="11"/>
    </row>
    <row r="20" spans="1:3" x14ac:dyDescent="0.3">
      <c r="A20" s="12"/>
      <c r="B20" s="13"/>
      <c r="C20" s="14"/>
    </row>
    <row r="23" spans="1:3" x14ac:dyDescent="0.3">
      <c r="A23" s="16" t="s">
        <v>1</v>
      </c>
      <c r="B23" s="17" t="s">
        <v>82</v>
      </c>
    </row>
    <row r="24" spans="1:3" x14ac:dyDescent="0.3">
      <c r="A24" s="18" t="s">
        <v>12</v>
      </c>
      <c r="B24" s="20">
        <v>0.26061583148694017</v>
      </c>
    </row>
    <row r="25" spans="1:3" x14ac:dyDescent="0.3">
      <c r="A25" s="18" t="s">
        <v>13</v>
      </c>
      <c r="B25" s="20">
        <v>0.25122211481616114</v>
      </c>
    </row>
    <row r="26" spans="1:3" x14ac:dyDescent="0.3">
      <c r="A26" s="18" t="s">
        <v>10</v>
      </c>
      <c r="B26" s="20">
        <v>0.24501368419978761</v>
      </c>
    </row>
    <row r="27" spans="1:3" x14ac:dyDescent="0.3">
      <c r="A27" s="18" t="s">
        <v>11</v>
      </c>
      <c r="B27" s="20">
        <v>0.24314836949711111</v>
      </c>
    </row>
    <row r="28" spans="1:3" x14ac:dyDescent="0.3">
      <c r="A28" s="18" t="s">
        <v>81</v>
      </c>
      <c r="B28" s="20">
        <v>1</v>
      </c>
    </row>
    <row r="40" spans="1:2" x14ac:dyDescent="0.3">
      <c r="A40" s="16" t="s">
        <v>83</v>
      </c>
      <c r="B40" s="17" t="s">
        <v>84</v>
      </c>
    </row>
    <row r="41" spans="1:2" x14ac:dyDescent="0.3">
      <c r="A41" s="18" t="s">
        <v>56</v>
      </c>
      <c r="B41" s="19">
        <v>7134930</v>
      </c>
    </row>
    <row r="42" spans="1:2" x14ac:dyDescent="0.3">
      <c r="A42" s="18" t="s">
        <v>55</v>
      </c>
      <c r="B42" s="19">
        <v>7083098</v>
      </c>
    </row>
    <row r="43" spans="1:2" x14ac:dyDescent="0.3">
      <c r="A43" s="18" t="s">
        <v>67</v>
      </c>
      <c r="B43" s="19">
        <v>7076115</v>
      </c>
    </row>
    <row r="44" spans="1:2" x14ac:dyDescent="0.3">
      <c r="A44" s="18" t="s">
        <v>65</v>
      </c>
      <c r="B44" s="19">
        <v>5900620</v>
      </c>
    </row>
    <row r="45" spans="1:2" x14ac:dyDescent="0.3">
      <c r="A45" s="18" t="s">
        <v>57</v>
      </c>
      <c r="B45" s="19">
        <v>5446797</v>
      </c>
    </row>
    <row r="46" spans="1:2" x14ac:dyDescent="0.3">
      <c r="A46" s="18" t="s">
        <v>81</v>
      </c>
      <c r="B46" s="19">
        <v>32641560</v>
      </c>
    </row>
    <row r="62" spans="1:2" x14ac:dyDescent="0.3">
      <c r="A62" s="16" t="s">
        <v>97</v>
      </c>
      <c r="B62" s="17" t="s">
        <v>98</v>
      </c>
    </row>
    <row r="63" spans="1:2" x14ac:dyDescent="0.3">
      <c r="A63" s="18" t="s">
        <v>88</v>
      </c>
      <c r="B63" s="19">
        <v>4155823</v>
      </c>
    </row>
    <row r="64" spans="1:2" x14ac:dyDescent="0.3">
      <c r="A64" s="18" t="s">
        <v>90</v>
      </c>
      <c r="B64" s="19">
        <v>5238566</v>
      </c>
    </row>
    <row r="65" spans="1:2" x14ac:dyDescent="0.3">
      <c r="A65" s="18" t="s">
        <v>94</v>
      </c>
      <c r="B65" s="19">
        <v>5478944</v>
      </c>
    </row>
    <row r="66" spans="1:2" x14ac:dyDescent="0.3">
      <c r="A66" s="18" t="s">
        <v>96</v>
      </c>
      <c r="B66" s="19">
        <v>5589848</v>
      </c>
    </row>
    <row r="67" spans="1:2" x14ac:dyDescent="0.3">
      <c r="A67" s="18" t="s">
        <v>95</v>
      </c>
      <c r="B67" s="19">
        <v>6098460</v>
      </c>
    </row>
    <row r="68" spans="1:2" x14ac:dyDescent="0.3">
      <c r="A68" s="18" t="s">
        <v>87</v>
      </c>
      <c r="B68" s="19">
        <v>6287410</v>
      </c>
    </row>
    <row r="69" spans="1:2" x14ac:dyDescent="0.3">
      <c r="A69" s="18" t="s">
        <v>92</v>
      </c>
      <c r="B69" s="19">
        <v>6995740</v>
      </c>
    </row>
    <row r="70" spans="1:2" x14ac:dyDescent="0.3">
      <c r="A70" s="18" t="s">
        <v>89</v>
      </c>
      <c r="B70" s="19">
        <v>7051281</v>
      </c>
    </row>
    <row r="71" spans="1:2" x14ac:dyDescent="0.3">
      <c r="A71" s="18" t="s">
        <v>85</v>
      </c>
      <c r="B71" s="19">
        <v>7118000</v>
      </c>
    </row>
    <row r="72" spans="1:2" x14ac:dyDescent="0.3">
      <c r="A72" s="18" t="s">
        <v>86</v>
      </c>
      <c r="B72" s="19">
        <v>7234235</v>
      </c>
    </row>
    <row r="73" spans="1:2" x14ac:dyDescent="0.3">
      <c r="A73" s="18" t="s">
        <v>91</v>
      </c>
      <c r="B73" s="19">
        <v>7300254</v>
      </c>
    </row>
    <row r="74" spans="1:2" x14ac:dyDescent="0.3">
      <c r="A74" s="18" t="s">
        <v>93</v>
      </c>
      <c r="B74" s="19">
        <v>7810672</v>
      </c>
    </row>
    <row r="75" spans="1:2" x14ac:dyDescent="0.3">
      <c r="A75" s="18" t="s">
        <v>81</v>
      </c>
      <c r="B75" s="19">
        <v>76359233</v>
      </c>
    </row>
    <row r="91" spans="2:3" x14ac:dyDescent="0.3">
      <c r="B91" s="16" t="s">
        <v>99</v>
      </c>
      <c r="C91" s="17" t="s">
        <v>100</v>
      </c>
    </row>
    <row r="92" spans="2:3" x14ac:dyDescent="0.3">
      <c r="B92" s="18" t="s">
        <v>76</v>
      </c>
      <c r="C92" s="19">
        <v>7752391</v>
      </c>
    </row>
    <row r="93" spans="2:3" x14ac:dyDescent="0.3">
      <c r="B93" s="18" t="s">
        <v>77</v>
      </c>
      <c r="C93" s="19">
        <v>7769000</v>
      </c>
    </row>
    <row r="94" spans="2:3" x14ac:dyDescent="0.3">
      <c r="B94" s="18" t="s">
        <v>78</v>
      </c>
      <c r="C94" s="19">
        <v>9308117</v>
      </c>
    </row>
    <row r="95" spans="2:3" x14ac:dyDescent="0.3">
      <c r="B95" s="18" t="s">
        <v>75</v>
      </c>
      <c r="C95" s="19">
        <v>9520432</v>
      </c>
    </row>
    <row r="96" spans="2:3" x14ac:dyDescent="0.3">
      <c r="B96" s="18" t="s">
        <v>80</v>
      </c>
      <c r="C96" s="19">
        <v>9780190</v>
      </c>
    </row>
    <row r="97" spans="2:3" x14ac:dyDescent="0.3">
      <c r="B97" s="18" t="s">
        <v>74</v>
      </c>
      <c r="C97" s="19">
        <v>10191059</v>
      </c>
    </row>
    <row r="98" spans="2:3" x14ac:dyDescent="0.3">
      <c r="B98" s="18" t="s">
        <v>73</v>
      </c>
      <c r="C98" s="19">
        <v>10649202</v>
      </c>
    </row>
    <row r="99" spans="2:3" x14ac:dyDescent="0.3">
      <c r="B99" s="18" t="s">
        <v>79</v>
      </c>
      <c r="C99" s="19">
        <v>11388842</v>
      </c>
    </row>
    <row r="100" spans="2:3" x14ac:dyDescent="0.3">
      <c r="B100" s="18" t="s">
        <v>81</v>
      </c>
      <c r="C100" s="19">
        <v>76359233</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501"/>
  <sheetViews>
    <sheetView workbookViewId="0">
      <selection activeCell="J1" sqref="J1"/>
    </sheetView>
  </sheetViews>
  <sheetFormatPr defaultRowHeight="14.4" x14ac:dyDescent="0.3"/>
  <cols>
    <col min="1" max="1" width="10.5546875" style="1" bestFit="1" customWidth="1"/>
    <col min="2" max="2" width="11.21875" bestFit="1" customWidth="1"/>
    <col min="3" max="3" width="12.21875" bestFit="1" customWidth="1"/>
    <col min="4" max="4" width="18.109375" bestFit="1" customWidth="1"/>
    <col min="5" max="5" width="15.44140625" bestFit="1" customWidth="1"/>
    <col min="6" max="6" width="15.109375" bestFit="1" customWidth="1"/>
    <col min="7" max="7" width="12.77734375" style="2" bestFit="1" customWidth="1"/>
    <col min="8" max="8" width="13.5546875" style="2" bestFit="1" customWidth="1"/>
    <col min="9" max="9" width="14.33203125" style="2" bestFit="1" customWidth="1"/>
    <col min="10" max="10" width="15.44140625" bestFit="1" customWidth="1"/>
    <col min="11" max="11" width="10.44140625" bestFit="1" customWidth="1"/>
  </cols>
  <sheetData>
    <row r="1" spans="1:11" x14ac:dyDescent="0.3">
      <c r="A1" s="3" t="s">
        <v>0</v>
      </c>
      <c r="B1" s="4" t="s">
        <v>1</v>
      </c>
      <c r="C1" s="4" t="s">
        <v>2</v>
      </c>
      <c r="D1" s="4" t="s">
        <v>3</v>
      </c>
      <c r="E1" s="4" t="s">
        <v>4</v>
      </c>
      <c r="F1" s="4" t="s">
        <v>5</v>
      </c>
      <c r="G1" s="5" t="s">
        <v>6</v>
      </c>
      <c r="H1" s="5" t="s">
        <v>7</v>
      </c>
      <c r="I1" s="5" t="s">
        <v>8</v>
      </c>
      <c r="J1" s="4" t="s">
        <v>9</v>
      </c>
      <c r="K1" s="5" t="s">
        <v>101</v>
      </c>
    </row>
    <row r="2" spans="1:11" x14ac:dyDescent="0.3">
      <c r="A2" s="1">
        <v>45183</v>
      </c>
      <c r="B2" t="s">
        <v>10</v>
      </c>
      <c r="C2" t="s">
        <v>14</v>
      </c>
      <c r="D2" t="s">
        <v>30</v>
      </c>
      <c r="E2" t="s">
        <v>54</v>
      </c>
      <c r="F2" t="s">
        <v>69</v>
      </c>
      <c r="G2" s="2">
        <v>8</v>
      </c>
      <c r="H2" s="2">
        <v>51968</v>
      </c>
      <c r="I2" s="2">
        <v>415744</v>
      </c>
      <c r="J2" t="s">
        <v>73</v>
      </c>
      <c r="K2" s="2">
        <f>SUM(Table1[Total Sales])</f>
        <v>76359233</v>
      </c>
    </row>
    <row r="3" spans="1:11" x14ac:dyDescent="0.3">
      <c r="A3" s="1">
        <v>45222</v>
      </c>
      <c r="B3" t="s">
        <v>10</v>
      </c>
      <c r="C3" t="s">
        <v>15</v>
      </c>
      <c r="D3" t="s">
        <v>31</v>
      </c>
      <c r="E3" t="s">
        <v>55</v>
      </c>
      <c r="F3" t="s">
        <v>70</v>
      </c>
      <c r="G3" s="2">
        <v>3</v>
      </c>
      <c r="H3" s="2">
        <v>55037</v>
      </c>
      <c r="I3" s="2">
        <v>165111</v>
      </c>
      <c r="J3" t="s">
        <v>74</v>
      </c>
      <c r="K3" s="2"/>
    </row>
    <row r="4" spans="1:11" x14ac:dyDescent="0.3">
      <c r="A4" s="1">
        <v>44975</v>
      </c>
      <c r="B4" t="s">
        <v>11</v>
      </c>
      <c r="C4" t="s">
        <v>16</v>
      </c>
      <c r="D4" t="s">
        <v>32</v>
      </c>
      <c r="E4" t="s">
        <v>56</v>
      </c>
      <c r="F4" t="s">
        <v>70</v>
      </c>
      <c r="G4" s="2">
        <v>5</v>
      </c>
      <c r="H4" s="2">
        <v>30791</v>
      </c>
      <c r="I4" s="2">
        <v>153955</v>
      </c>
      <c r="J4" t="s">
        <v>74</v>
      </c>
      <c r="K4" s="2"/>
    </row>
    <row r="5" spans="1:11" x14ac:dyDescent="0.3">
      <c r="A5" s="1">
        <v>45018</v>
      </c>
      <c r="B5" t="s">
        <v>11</v>
      </c>
      <c r="C5" t="s">
        <v>17</v>
      </c>
      <c r="D5" t="s">
        <v>33</v>
      </c>
      <c r="E5" t="s">
        <v>57</v>
      </c>
      <c r="F5" t="s">
        <v>71</v>
      </c>
      <c r="G5" s="2">
        <v>5</v>
      </c>
      <c r="H5" s="2">
        <v>28723</v>
      </c>
      <c r="I5" s="2">
        <v>143615</v>
      </c>
      <c r="J5" t="s">
        <v>75</v>
      </c>
      <c r="K5" s="2"/>
    </row>
    <row r="6" spans="1:11" x14ac:dyDescent="0.3">
      <c r="A6" s="1">
        <v>44946</v>
      </c>
      <c r="B6" t="s">
        <v>12</v>
      </c>
      <c r="C6" t="s">
        <v>18</v>
      </c>
      <c r="D6" t="s">
        <v>34</v>
      </c>
      <c r="E6" t="s">
        <v>55</v>
      </c>
      <c r="F6" t="s">
        <v>70</v>
      </c>
      <c r="G6" s="2">
        <v>7</v>
      </c>
      <c r="H6" s="2">
        <v>23419</v>
      </c>
      <c r="I6" s="2">
        <v>163933</v>
      </c>
      <c r="J6" t="s">
        <v>76</v>
      </c>
      <c r="K6" s="2"/>
    </row>
    <row r="7" spans="1:11" x14ac:dyDescent="0.3">
      <c r="A7" s="1">
        <v>45064</v>
      </c>
      <c r="B7" t="s">
        <v>13</v>
      </c>
      <c r="C7" t="s">
        <v>19</v>
      </c>
      <c r="D7" t="s">
        <v>35</v>
      </c>
      <c r="E7" t="s">
        <v>58</v>
      </c>
      <c r="F7" t="s">
        <v>72</v>
      </c>
      <c r="G7" s="2">
        <v>6</v>
      </c>
      <c r="H7" s="2">
        <v>36400</v>
      </c>
      <c r="I7" s="2">
        <v>218400</v>
      </c>
      <c r="J7" t="s">
        <v>74</v>
      </c>
      <c r="K7" s="2"/>
    </row>
    <row r="8" spans="1:11" x14ac:dyDescent="0.3">
      <c r="A8" s="1">
        <v>45051</v>
      </c>
      <c r="B8" t="s">
        <v>11</v>
      </c>
      <c r="C8" t="s">
        <v>17</v>
      </c>
      <c r="D8" t="s">
        <v>33</v>
      </c>
      <c r="E8" t="s">
        <v>59</v>
      </c>
      <c r="F8" t="s">
        <v>71</v>
      </c>
      <c r="G8" s="2">
        <v>9</v>
      </c>
      <c r="H8" s="2">
        <v>35662</v>
      </c>
      <c r="I8" s="2">
        <v>320958</v>
      </c>
      <c r="J8" t="s">
        <v>77</v>
      </c>
      <c r="K8" s="2"/>
    </row>
    <row r="9" spans="1:11" x14ac:dyDescent="0.3">
      <c r="A9" s="1">
        <v>45253</v>
      </c>
      <c r="B9" t="s">
        <v>13</v>
      </c>
      <c r="C9" t="s">
        <v>20</v>
      </c>
      <c r="D9" t="s">
        <v>36</v>
      </c>
      <c r="E9" t="s">
        <v>54</v>
      </c>
      <c r="F9" t="s">
        <v>69</v>
      </c>
      <c r="G9" s="2">
        <v>4</v>
      </c>
      <c r="H9" s="2">
        <v>40106</v>
      </c>
      <c r="I9" s="2">
        <v>160424</v>
      </c>
      <c r="J9" t="s">
        <v>73</v>
      </c>
      <c r="K9" s="2"/>
    </row>
    <row r="10" spans="1:11" x14ac:dyDescent="0.3">
      <c r="A10" s="1">
        <v>44956</v>
      </c>
      <c r="B10" t="s">
        <v>11</v>
      </c>
      <c r="C10" t="s">
        <v>17</v>
      </c>
      <c r="D10" t="s">
        <v>33</v>
      </c>
      <c r="E10" t="s">
        <v>60</v>
      </c>
      <c r="F10" t="s">
        <v>71</v>
      </c>
      <c r="G10" s="2">
        <v>5</v>
      </c>
      <c r="H10" s="2">
        <v>57979</v>
      </c>
      <c r="I10" s="2">
        <v>289895</v>
      </c>
      <c r="J10" t="s">
        <v>76</v>
      </c>
      <c r="K10" s="2"/>
    </row>
    <row r="11" spans="1:11" x14ac:dyDescent="0.3">
      <c r="A11" s="1">
        <v>44981</v>
      </c>
      <c r="B11" t="s">
        <v>12</v>
      </c>
      <c r="C11" t="s">
        <v>21</v>
      </c>
      <c r="D11" t="s">
        <v>37</v>
      </c>
      <c r="E11" t="s">
        <v>55</v>
      </c>
      <c r="F11" t="s">
        <v>70</v>
      </c>
      <c r="G11" s="2">
        <v>4</v>
      </c>
      <c r="H11" s="2">
        <v>21512</v>
      </c>
      <c r="I11" s="2">
        <v>86048</v>
      </c>
      <c r="J11" t="s">
        <v>76</v>
      </c>
      <c r="K11" s="2"/>
    </row>
    <row r="12" spans="1:11" x14ac:dyDescent="0.3">
      <c r="A12" s="1">
        <v>45273</v>
      </c>
      <c r="B12" t="s">
        <v>12</v>
      </c>
      <c r="C12" t="s">
        <v>18</v>
      </c>
      <c r="D12" t="s">
        <v>34</v>
      </c>
      <c r="E12" t="s">
        <v>61</v>
      </c>
      <c r="F12" t="s">
        <v>69</v>
      </c>
      <c r="G12" s="2">
        <v>10</v>
      </c>
      <c r="H12" s="2">
        <v>56382</v>
      </c>
      <c r="I12" s="2">
        <v>563820</v>
      </c>
      <c r="J12" t="s">
        <v>75</v>
      </c>
      <c r="K12" s="2"/>
    </row>
    <row r="13" spans="1:11" x14ac:dyDescent="0.3">
      <c r="A13" s="1">
        <v>45066</v>
      </c>
      <c r="B13" t="s">
        <v>12</v>
      </c>
      <c r="C13" t="s">
        <v>21</v>
      </c>
      <c r="D13" t="s">
        <v>37</v>
      </c>
      <c r="E13" t="s">
        <v>62</v>
      </c>
      <c r="F13" t="s">
        <v>71</v>
      </c>
      <c r="G13" s="2">
        <v>3</v>
      </c>
      <c r="H13" s="2">
        <v>44729</v>
      </c>
      <c r="I13" s="2">
        <v>134187</v>
      </c>
      <c r="J13" t="s">
        <v>73</v>
      </c>
      <c r="K13" s="2"/>
    </row>
    <row r="14" spans="1:11" x14ac:dyDescent="0.3">
      <c r="A14" s="1">
        <v>44977</v>
      </c>
      <c r="B14" t="s">
        <v>11</v>
      </c>
      <c r="C14" t="s">
        <v>16</v>
      </c>
      <c r="D14" t="s">
        <v>32</v>
      </c>
      <c r="E14" t="s">
        <v>63</v>
      </c>
      <c r="F14" t="s">
        <v>72</v>
      </c>
      <c r="G14" s="2">
        <v>8</v>
      </c>
      <c r="H14" s="2">
        <v>42728</v>
      </c>
      <c r="I14" s="2">
        <v>341824</v>
      </c>
      <c r="J14" t="s">
        <v>75</v>
      </c>
      <c r="K14" s="2"/>
    </row>
    <row r="15" spans="1:11" x14ac:dyDescent="0.3">
      <c r="A15" s="1">
        <v>45229</v>
      </c>
      <c r="B15" t="s">
        <v>13</v>
      </c>
      <c r="C15" t="s">
        <v>19</v>
      </c>
      <c r="D15" t="s">
        <v>35</v>
      </c>
      <c r="E15" t="s">
        <v>62</v>
      </c>
      <c r="F15" t="s">
        <v>71</v>
      </c>
      <c r="G15" s="2">
        <v>5</v>
      </c>
      <c r="H15" s="2">
        <v>40832</v>
      </c>
      <c r="I15" s="2">
        <v>204160</v>
      </c>
      <c r="J15" t="s">
        <v>78</v>
      </c>
      <c r="K15" s="2"/>
    </row>
    <row r="16" spans="1:11" x14ac:dyDescent="0.3">
      <c r="A16" s="1">
        <v>45002</v>
      </c>
      <c r="B16" t="s">
        <v>12</v>
      </c>
      <c r="C16" t="s">
        <v>18</v>
      </c>
      <c r="D16" t="s">
        <v>34</v>
      </c>
      <c r="E16" t="s">
        <v>64</v>
      </c>
      <c r="F16" t="s">
        <v>69</v>
      </c>
      <c r="G16" s="2">
        <v>10</v>
      </c>
      <c r="H16" s="2">
        <v>7692</v>
      </c>
      <c r="I16" s="2">
        <v>76920</v>
      </c>
      <c r="J16" t="s">
        <v>78</v>
      </c>
      <c r="K16" s="2"/>
    </row>
    <row r="17" spans="1:11" x14ac:dyDescent="0.3">
      <c r="A17" s="1">
        <v>45091</v>
      </c>
      <c r="B17" t="s">
        <v>12</v>
      </c>
      <c r="C17" t="s">
        <v>21</v>
      </c>
      <c r="D17" t="s">
        <v>38</v>
      </c>
      <c r="E17" t="s">
        <v>59</v>
      </c>
      <c r="F17" t="s">
        <v>71</v>
      </c>
      <c r="G17" s="2">
        <v>6</v>
      </c>
      <c r="H17" s="2">
        <v>13320</v>
      </c>
      <c r="I17" s="2">
        <v>79920</v>
      </c>
      <c r="J17" t="s">
        <v>73</v>
      </c>
      <c r="K17" s="2"/>
    </row>
    <row r="18" spans="1:11" x14ac:dyDescent="0.3">
      <c r="A18" s="1">
        <v>45003</v>
      </c>
      <c r="B18" t="s">
        <v>10</v>
      </c>
      <c r="C18" t="s">
        <v>15</v>
      </c>
      <c r="D18" t="s">
        <v>39</v>
      </c>
      <c r="E18" t="s">
        <v>65</v>
      </c>
      <c r="F18" t="s">
        <v>72</v>
      </c>
      <c r="G18" s="2">
        <v>10</v>
      </c>
      <c r="H18" s="2">
        <v>10857</v>
      </c>
      <c r="I18" s="2">
        <v>108570</v>
      </c>
      <c r="J18" t="s">
        <v>75</v>
      </c>
      <c r="K18" s="2"/>
    </row>
    <row r="19" spans="1:11" x14ac:dyDescent="0.3">
      <c r="A19" s="1">
        <v>45179</v>
      </c>
      <c r="B19" t="s">
        <v>12</v>
      </c>
      <c r="C19" t="s">
        <v>22</v>
      </c>
      <c r="D19" t="s">
        <v>40</v>
      </c>
      <c r="E19" t="s">
        <v>65</v>
      </c>
      <c r="F19" t="s">
        <v>72</v>
      </c>
      <c r="G19" s="2">
        <v>2</v>
      </c>
      <c r="H19" s="2">
        <v>2763</v>
      </c>
      <c r="I19" s="2">
        <v>5526</v>
      </c>
      <c r="J19" t="s">
        <v>76</v>
      </c>
      <c r="K19" s="2"/>
    </row>
    <row r="20" spans="1:11" x14ac:dyDescent="0.3">
      <c r="A20" s="1">
        <v>45014</v>
      </c>
      <c r="B20" t="s">
        <v>13</v>
      </c>
      <c r="C20" t="s">
        <v>19</v>
      </c>
      <c r="D20" t="s">
        <v>41</v>
      </c>
      <c r="E20" t="s">
        <v>66</v>
      </c>
      <c r="F20" t="s">
        <v>70</v>
      </c>
      <c r="G20" s="2">
        <v>6</v>
      </c>
      <c r="H20" s="2">
        <v>35025</v>
      </c>
      <c r="I20" s="2">
        <v>210150</v>
      </c>
      <c r="J20" t="s">
        <v>78</v>
      </c>
      <c r="K20" s="2"/>
    </row>
    <row r="21" spans="1:11" x14ac:dyDescent="0.3">
      <c r="A21" s="1">
        <v>45272</v>
      </c>
      <c r="B21" t="s">
        <v>12</v>
      </c>
      <c r="C21" t="s">
        <v>22</v>
      </c>
      <c r="D21" t="s">
        <v>40</v>
      </c>
      <c r="E21" t="s">
        <v>61</v>
      </c>
      <c r="F21" t="s">
        <v>69</v>
      </c>
      <c r="G21" s="2">
        <v>3</v>
      </c>
      <c r="H21" s="2">
        <v>35186</v>
      </c>
      <c r="I21" s="2">
        <v>105558</v>
      </c>
      <c r="J21" t="s">
        <v>75</v>
      </c>
      <c r="K21" s="2"/>
    </row>
    <row r="22" spans="1:11" x14ac:dyDescent="0.3">
      <c r="A22" s="1">
        <v>45278</v>
      </c>
      <c r="B22" t="s">
        <v>12</v>
      </c>
      <c r="C22" t="s">
        <v>23</v>
      </c>
      <c r="D22" t="s">
        <v>42</v>
      </c>
      <c r="E22" t="s">
        <v>64</v>
      </c>
      <c r="F22" t="s">
        <v>69</v>
      </c>
      <c r="G22" s="2">
        <v>9</v>
      </c>
      <c r="H22" s="2">
        <v>18950</v>
      </c>
      <c r="I22" s="2">
        <v>170550</v>
      </c>
      <c r="J22" t="s">
        <v>76</v>
      </c>
      <c r="K22" s="2"/>
    </row>
    <row r="23" spans="1:11" x14ac:dyDescent="0.3">
      <c r="A23" s="1">
        <v>45218</v>
      </c>
      <c r="B23" t="s">
        <v>12</v>
      </c>
      <c r="C23" t="s">
        <v>18</v>
      </c>
      <c r="D23" t="s">
        <v>43</v>
      </c>
      <c r="E23" t="s">
        <v>54</v>
      </c>
      <c r="F23" t="s">
        <v>69</v>
      </c>
      <c r="G23" s="2">
        <v>8</v>
      </c>
      <c r="H23" s="2">
        <v>13435</v>
      </c>
      <c r="I23" s="2">
        <v>107480</v>
      </c>
      <c r="J23" t="s">
        <v>73</v>
      </c>
      <c r="K23" s="2"/>
    </row>
    <row r="24" spans="1:11" x14ac:dyDescent="0.3">
      <c r="A24" s="1">
        <v>45057</v>
      </c>
      <c r="B24" t="s">
        <v>11</v>
      </c>
      <c r="C24" t="s">
        <v>24</v>
      </c>
      <c r="D24" t="s">
        <v>44</v>
      </c>
      <c r="E24" t="s">
        <v>66</v>
      </c>
      <c r="F24" t="s">
        <v>70</v>
      </c>
      <c r="G24" s="2">
        <v>3</v>
      </c>
      <c r="H24" s="2">
        <v>41273</v>
      </c>
      <c r="I24" s="2">
        <v>123819</v>
      </c>
      <c r="J24" t="s">
        <v>79</v>
      </c>
      <c r="K24" s="2"/>
    </row>
    <row r="25" spans="1:11" x14ac:dyDescent="0.3">
      <c r="A25" s="1">
        <v>45083</v>
      </c>
      <c r="B25" t="s">
        <v>12</v>
      </c>
      <c r="C25" t="s">
        <v>23</v>
      </c>
      <c r="D25" t="s">
        <v>42</v>
      </c>
      <c r="E25" t="s">
        <v>67</v>
      </c>
      <c r="F25" t="s">
        <v>72</v>
      </c>
      <c r="G25" s="2">
        <v>9</v>
      </c>
      <c r="H25" s="2">
        <v>51331</v>
      </c>
      <c r="I25" s="2">
        <v>461979</v>
      </c>
      <c r="J25" t="s">
        <v>73</v>
      </c>
      <c r="K25" s="2"/>
    </row>
    <row r="26" spans="1:11" x14ac:dyDescent="0.3">
      <c r="A26" s="1">
        <v>45155</v>
      </c>
      <c r="B26" t="s">
        <v>13</v>
      </c>
      <c r="C26" t="s">
        <v>25</v>
      </c>
      <c r="D26" t="s">
        <v>45</v>
      </c>
      <c r="E26" t="s">
        <v>63</v>
      </c>
      <c r="F26" t="s">
        <v>72</v>
      </c>
      <c r="G26" s="2">
        <v>4</v>
      </c>
      <c r="H26" s="2">
        <v>40369</v>
      </c>
      <c r="I26" s="2">
        <v>161476</v>
      </c>
      <c r="J26" t="s">
        <v>76</v>
      </c>
      <c r="K26" s="2"/>
    </row>
    <row r="27" spans="1:11" x14ac:dyDescent="0.3">
      <c r="A27" s="1">
        <v>45205</v>
      </c>
      <c r="B27" t="s">
        <v>11</v>
      </c>
      <c r="C27" t="s">
        <v>24</v>
      </c>
      <c r="D27" t="s">
        <v>44</v>
      </c>
      <c r="E27" t="s">
        <v>55</v>
      </c>
      <c r="F27" t="s">
        <v>70</v>
      </c>
      <c r="G27" s="2">
        <v>2</v>
      </c>
      <c r="H27" s="2">
        <v>52208</v>
      </c>
      <c r="I27" s="2">
        <v>104416</v>
      </c>
      <c r="J27" t="s">
        <v>73</v>
      </c>
      <c r="K27" s="2"/>
    </row>
    <row r="28" spans="1:11" x14ac:dyDescent="0.3">
      <c r="A28" s="1">
        <v>45251</v>
      </c>
      <c r="B28" t="s">
        <v>10</v>
      </c>
      <c r="C28" t="s">
        <v>15</v>
      </c>
      <c r="D28" t="s">
        <v>31</v>
      </c>
      <c r="E28" t="s">
        <v>64</v>
      </c>
      <c r="F28" t="s">
        <v>69</v>
      </c>
      <c r="G28" s="2">
        <v>6</v>
      </c>
      <c r="H28" s="2">
        <v>43498</v>
      </c>
      <c r="I28" s="2">
        <v>260988</v>
      </c>
      <c r="J28" t="s">
        <v>73</v>
      </c>
      <c r="K28" s="2"/>
    </row>
    <row r="29" spans="1:11" x14ac:dyDescent="0.3">
      <c r="A29" s="1">
        <v>45129</v>
      </c>
      <c r="B29" t="s">
        <v>12</v>
      </c>
      <c r="C29" t="s">
        <v>21</v>
      </c>
      <c r="D29" t="s">
        <v>37</v>
      </c>
      <c r="E29" t="s">
        <v>62</v>
      </c>
      <c r="F29" t="s">
        <v>71</v>
      </c>
      <c r="G29" s="2">
        <v>7</v>
      </c>
      <c r="H29" s="2">
        <v>14875</v>
      </c>
      <c r="I29" s="2">
        <v>104125</v>
      </c>
      <c r="J29" t="s">
        <v>75</v>
      </c>
      <c r="K29" s="2"/>
    </row>
    <row r="30" spans="1:11" x14ac:dyDescent="0.3">
      <c r="A30" s="1">
        <v>45260</v>
      </c>
      <c r="B30" t="s">
        <v>13</v>
      </c>
      <c r="C30" t="s">
        <v>25</v>
      </c>
      <c r="D30" t="s">
        <v>46</v>
      </c>
      <c r="E30" t="s">
        <v>59</v>
      </c>
      <c r="F30" t="s">
        <v>71</v>
      </c>
      <c r="G30" s="2">
        <v>4</v>
      </c>
      <c r="H30" s="2">
        <v>16029</v>
      </c>
      <c r="I30" s="2">
        <v>64116</v>
      </c>
      <c r="J30" t="s">
        <v>74</v>
      </c>
      <c r="K30" s="2"/>
    </row>
    <row r="31" spans="1:11" x14ac:dyDescent="0.3">
      <c r="A31" s="1">
        <v>45068</v>
      </c>
      <c r="B31" t="s">
        <v>12</v>
      </c>
      <c r="C31" t="s">
        <v>21</v>
      </c>
      <c r="D31" t="s">
        <v>38</v>
      </c>
      <c r="E31" t="s">
        <v>64</v>
      </c>
      <c r="F31" t="s">
        <v>69</v>
      </c>
      <c r="G31" s="2">
        <v>3</v>
      </c>
      <c r="H31" s="2">
        <v>19847</v>
      </c>
      <c r="I31" s="2">
        <v>59541</v>
      </c>
      <c r="J31" t="s">
        <v>80</v>
      </c>
      <c r="K31" s="2"/>
    </row>
    <row r="32" spans="1:11" x14ac:dyDescent="0.3">
      <c r="A32" s="1">
        <v>44946</v>
      </c>
      <c r="B32" t="s">
        <v>10</v>
      </c>
      <c r="C32" t="s">
        <v>26</v>
      </c>
      <c r="D32" t="s">
        <v>26</v>
      </c>
      <c r="E32" t="s">
        <v>61</v>
      </c>
      <c r="F32" t="s">
        <v>69</v>
      </c>
      <c r="G32" s="2">
        <v>2</v>
      </c>
      <c r="H32" s="2">
        <v>53042</v>
      </c>
      <c r="I32" s="2">
        <v>106084</v>
      </c>
      <c r="J32" t="s">
        <v>77</v>
      </c>
      <c r="K32" s="2"/>
    </row>
    <row r="33" spans="1:11" x14ac:dyDescent="0.3">
      <c r="A33" s="1">
        <v>45142</v>
      </c>
      <c r="B33" t="s">
        <v>10</v>
      </c>
      <c r="C33" t="s">
        <v>27</v>
      </c>
      <c r="D33" t="s">
        <v>47</v>
      </c>
      <c r="E33" t="s">
        <v>54</v>
      </c>
      <c r="F33" t="s">
        <v>69</v>
      </c>
      <c r="G33" s="2">
        <v>8</v>
      </c>
      <c r="H33" s="2">
        <v>25576</v>
      </c>
      <c r="I33" s="2">
        <v>204608</v>
      </c>
      <c r="J33" t="s">
        <v>74</v>
      </c>
      <c r="K33" s="2"/>
    </row>
    <row r="34" spans="1:11" x14ac:dyDescent="0.3">
      <c r="A34" s="1">
        <v>45174</v>
      </c>
      <c r="B34" t="s">
        <v>12</v>
      </c>
      <c r="C34" t="s">
        <v>21</v>
      </c>
      <c r="D34" t="s">
        <v>37</v>
      </c>
      <c r="E34" t="s">
        <v>65</v>
      </c>
      <c r="F34" t="s">
        <v>72</v>
      </c>
      <c r="G34" s="2">
        <v>2</v>
      </c>
      <c r="H34" s="2">
        <v>15295</v>
      </c>
      <c r="I34" s="2">
        <v>30590</v>
      </c>
      <c r="J34" t="s">
        <v>79</v>
      </c>
      <c r="K34" s="2"/>
    </row>
    <row r="35" spans="1:11" x14ac:dyDescent="0.3">
      <c r="A35" s="1">
        <v>45212</v>
      </c>
      <c r="B35" t="s">
        <v>13</v>
      </c>
      <c r="C35" t="s">
        <v>19</v>
      </c>
      <c r="D35" t="s">
        <v>35</v>
      </c>
      <c r="E35" t="s">
        <v>57</v>
      </c>
      <c r="F35" t="s">
        <v>71</v>
      </c>
      <c r="G35" s="2">
        <v>9</v>
      </c>
      <c r="H35" s="2">
        <v>9576</v>
      </c>
      <c r="I35" s="2">
        <v>86184</v>
      </c>
      <c r="J35" t="s">
        <v>80</v>
      </c>
      <c r="K35" s="2"/>
    </row>
    <row r="36" spans="1:11" x14ac:dyDescent="0.3">
      <c r="A36" s="1">
        <v>45086</v>
      </c>
      <c r="B36" t="s">
        <v>13</v>
      </c>
      <c r="C36" t="s">
        <v>28</v>
      </c>
      <c r="D36" t="s">
        <v>48</v>
      </c>
      <c r="E36" t="s">
        <v>67</v>
      </c>
      <c r="F36" t="s">
        <v>72</v>
      </c>
      <c r="G36" s="2">
        <v>8</v>
      </c>
      <c r="H36" s="2">
        <v>27767</v>
      </c>
      <c r="I36" s="2">
        <v>222136</v>
      </c>
      <c r="J36" t="s">
        <v>73</v>
      </c>
      <c r="K36" s="2"/>
    </row>
    <row r="37" spans="1:11" x14ac:dyDescent="0.3">
      <c r="A37" s="1">
        <v>44938</v>
      </c>
      <c r="B37" t="s">
        <v>12</v>
      </c>
      <c r="C37" t="s">
        <v>22</v>
      </c>
      <c r="D37" t="s">
        <v>40</v>
      </c>
      <c r="E37" t="s">
        <v>54</v>
      </c>
      <c r="F37" t="s">
        <v>69</v>
      </c>
      <c r="G37" s="2">
        <v>7</v>
      </c>
      <c r="H37" s="2">
        <v>39479</v>
      </c>
      <c r="I37" s="2">
        <v>276353</v>
      </c>
      <c r="J37" t="s">
        <v>73</v>
      </c>
      <c r="K37" s="2"/>
    </row>
    <row r="38" spans="1:11" x14ac:dyDescent="0.3">
      <c r="A38" s="1">
        <v>45291</v>
      </c>
      <c r="B38" t="s">
        <v>11</v>
      </c>
      <c r="C38" t="s">
        <v>17</v>
      </c>
      <c r="D38" t="s">
        <v>33</v>
      </c>
      <c r="E38" t="s">
        <v>60</v>
      </c>
      <c r="F38" t="s">
        <v>71</v>
      </c>
      <c r="G38" s="2">
        <v>9</v>
      </c>
      <c r="H38" s="2">
        <v>49543</v>
      </c>
      <c r="I38" s="2">
        <v>445887</v>
      </c>
      <c r="J38" t="s">
        <v>74</v>
      </c>
      <c r="K38" s="2"/>
    </row>
    <row r="39" spans="1:11" x14ac:dyDescent="0.3">
      <c r="A39" s="1">
        <v>45017</v>
      </c>
      <c r="B39" t="s">
        <v>12</v>
      </c>
      <c r="C39" t="s">
        <v>18</v>
      </c>
      <c r="D39" t="s">
        <v>43</v>
      </c>
      <c r="E39" t="s">
        <v>56</v>
      </c>
      <c r="F39" t="s">
        <v>70</v>
      </c>
      <c r="G39" s="2">
        <v>2</v>
      </c>
      <c r="H39" s="2">
        <v>49566</v>
      </c>
      <c r="I39" s="2">
        <v>99132</v>
      </c>
      <c r="J39" t="s">
        <v>77</v>
      </c>
      <c r="K39" s="2"/>
    </row>
    <row r="40" spans="1:11" x14ac:dyDescent="0.3">
      <c r="A40" s="1">
        <v>45085</v>
      </c>
      <c r="B40" t="s">
        <v>10</v>
      </c>
      <c r="C40" t="s">
        <v>27</v>
      </c>
      <c r="D40" t="s">
        <v>49</v>
      </c>
      <c r="E40" t="s">
        <v>61</v>
      </c>
      <c r="F40" t="s">
        <v>69</v>
      </c>
      <c r="G40" s="2">
        <v>10</v>
      </c>
      <c r="H40" s="2">
        <v>22727</v>
      </c>
      <c r="I40" s="2">
        <v>227270</v>
      </c>
      <c r="J40" t="s">
        <v>74</v>
      </c>
      <c r="K40" s="2"/>
    </row>
    <row r="41" spans="1:11" x14ac:dyDescent="0.3">
      <c r="A41" s="1">
        <v>45285</v>
      </c>
      <c r="B41" t="s">
        <v>12</v>
      </c>
      <c r="C41" t="s">
        <v>23</v>
      </c>
      <c r="D41" t="s">
        <v>42</v>
      </c>
      <c r="E41" t="s">
        <v>67</v>
      </c>
      <c r="F41" t="s">
        <v>72</v>
      </c>
      <c r="G41" s="2">
        <v>4</v>
      </c>
      <c r="H41" s="2">
        <v>4312</v>
      </c>
      <c r="I41" s="2">
        <v>17248</v>
      </c>
      <c r="J41" t="s">
        <v>77</v>
      </c>
      <c r="K41" s="2"/>
    </row>
    <row r="42" spans="1:11" x14ac:dyDescent="0.3">
      <c r="A42" s="1">
        <v>45052</v>
      </c>
      <c r="B42" t="s">
        <v>13</v>
      </c>
      <c r="C42" t="s">
        <v>25</v>
      </c>
      <c r="D42" t="s">
        <v>46</v>
      </c>
      <c r="E42" t="s">
        <v>63</v>
      </c>
      <c r="F42" t="s">
        <v>72</v>
      </c>
      <c r="G42" s="2">
        <v>1</v>
      </c>
      <c r="H42" s="2">
        <v>5172</v>
      </c>
      <c r="I42" s="2">
        <v>5172</v>
      </c>
      <c r="J42" t="s">
        <v>76</v>
      </c>
      <c r="K42" s="2"/>
    </row>
    <row r="43" spans="1:11" x14ac:dyDescent="0.3">
      <c r="A43" s="1">
        <v>44954</v>
      </c>
      <c r="B43" t="s">
        <v>10</v>
      </c>
      <c r="C43" t="s">
        <v>27</v>
      </c>
      <c r="D43" t="s">
        <v>49</v>
      </c>
      <c r="E43" t="s">
        <v>58</v>
      </c>
      <c r="F43" t="s">
        <v>72</v>
      </c>
      <c r="G43" s="2">
        <v>2</v>
      </c>
      <c r="H43" s="2">
        <v>7808</v>
      </c>
      <c r="I43" s="2">
        <v>15616</v>
      </c>
      <c r="J43" t="s">
        <v>76</v>
      </c>
      <c r="K43" s="2"/>
    </row>
    <row r="44" spans="1:11" x14ac:dyDescent="0.3">
      <c r="A44" s="1">
        <v>44943</v>
      </c>
      <c r="B44" t="s">
        <v>11</v>
      </c>
      <c r="C44" t="s">
        <v>17</v>
      </c>
      <c r="D44" t="s">
        <v>33</v>
      </c>
      <c r="E44" t="s">
        <v>58</v>
      </c>
      <c r="F44" t="s">
        <v>72</v>
      </c>
      <c r="G44" s="2">
        <v>5</v>
      </c>
      <c r="H44" s="2">
        <v>25290</v>
      </c>
      <c r="I44" s="2">
        <v>126450</v>
      </c>
      <c r="J44" t="s">
        <v>75</v>
      </c>
      <c r="K44" s="2"/>
    </row>
    <row r="45" spans="1:11" x14ac:dyDescent="0.3">
      <c r="A45" s="1">
        <v>45152</v>
      </c>
      <c r="B45" t="s">
        <v>11</v>
      </c>
      <c r="C45" t="s">
        <v>17</v>
      </c>
      <c r="D45" t="s">
        <v>33</v>
      </c>
      <c r="E45" t="s">
        <v>61</v>
      </c>
      <c r="F45" t="s">
        <v>69</v>
      </c>
      <c r="G45" s="2">
        <v>3</v>
      </c>
      <c r="H45" s="2">
        <v>48762</v>
      </c>
      <c r="I45" s="2">
        <v>146286</v>
      </c>
      <c r="J45" t="s">
        <v>76</v>
      </c>
      <c r="K45" s="2"/>
    </row>
    <row r="46" spans="1:11" x14ac:dyDescent="0.3">
      <c r="A46" s="1">
        <v>45126</v>
      </c>
      <c r="B46" t="s">
        <v>11</v>
      </c>
      <c r="C46" t="s">
        <v>29</v>
      </c>
      <c r="D46" t="s">
        <v>50</v>
      </c>
      <c r="E46" t="s">
        <v>65</v>
      </c>
      <c r="F46" t="s">
        <v>72</v>
      </c>
      <c r="G46" s="2">
        <v>7</v>
      </c>
      <c r="H46" s="2">
        <v>29681</v>
      </c>
      <c r="I46" s="2">
        <v>207767</v>
      </c>
      <c r="J46" t="s">
        <v>78</v>
      </c>
      <c r="K46" s="2"/>
    </row>
    <row r="47" spans="1:11" x14ac:dyDescent="0.3">
      <c r="A47" s="1">
        <v>45013</v>
      </c>
      <c r="B47" t="s">
        <v>10</v>
      </c>
      <c r="C47" t="s">
        <v>27</v>
      </c>
      <c r="D47" t="s">
        <v>47</v>
      </c>
      <c r="E47" t="s">
        <v>61</v>
      </c>
      <c r="F47" t="s">
        <v>69</v>
      </c>
      <c r="G47" s="2">
        <v>10</v>
      </c>
      <c r="H47" s="2">
        <v>51721</v>
      </c>
      <c r="I47" s="2">
        <v>517210</v>
      </c>
      <c r="J47" t="s">
        <v>73</v>
      </c>
      <c r="K47" s="2"/>
    </row>
    <row r="48" spans="1:11" x14ac:dyDescent="0.3">
      <c r="A48" s="1">
        <v>45074</v>
      </c>
      <c r="B48" t="s">
        <v>13</v>
      </c>
      <c r="C48" t="s">
        <v>25</v>
      </c>
      <c r="D48" t="s">
        <v>46</v>
      </c>
      <c r="E48" t="s">
        <v>55</v>
      </c>
      <c r="F48" t="s">
        <v>70</v>
      </c>
      <c r="G48" s="2">
        <v>9</v>
      </c>
      <c r="H48" s="2">
        <v>17789</v>
      </c>
      <c r="I48" s="2">
        <v>160101</v>
      </c>
      <c r="J48" t="s">
        <v>79</v>
      </c>
      <c r="K48" s="2"/>
    </row>
    <row r="49" spans="1:11" x14ac:dyDescent="0.3">
      <c r="A49" s="1">
        <v>44988</v>
      </c>
      <c r="B49" t="s">
        <v>11</v>
      </c>
      <c r="C49" t="s">
        <v>17</v>
      </c>
      <c r="D49" t="s">
        <v>33</v>
      </c>
      <c r="E49" t="s">
        <v>54</v>
      </c>
      <c r="F49" t="s">
        <v>69</v>
      </c>
      <c r="G49" s="2">
        <v>5</v>
      </c>
      <c r="H49" s="2">
        <v>17678</v>
      </c>
      <c r="I49" s="2">
        <v>88390</v>
      </c>
      <c r="J49" t="s">
        <v>80</v>
      </c>
      <c r="K49" s="2"/>
    </row>
    <row r="50" spans="1:11" x14ac:dyDescent="0.3">
      <c r="A50" s="1">
        <v>45203</v>
      </c>
      <c r="B50" t="s">
        <v>11</v>
      </c>
      <c r="C50" t="s">
        <v>29</v>
      </c>
      <c r="D50" t="s">
        <v>50</v>
      </c>
      <c r="E50" t="s">
        <v>65</v>
      </c>
      <c r="F50" t="s">
        <v>72</v>
      </c>
      <c r="G50" s="2">
        <v>3</v>
      </c>
      <c r="H50" s="2">
        <v>11160</v>
      </c>
      <c r="I50" s="2">
        <v>33480</v>
      </c>
      <c r="J50" t="s">
        <v>75</v>
      </c>
      <c r="K50" s="2"/>
    </row>
    <row r="51" spans="1:11" x14ac:dyDescent="0.3">
      <c r="A51" s="1">
        <v>45228</v>
      </c>
      <c r="B51" t="s">
        <v>13</v>
      </c>
      <c r="C51" t="s">
        <v>25</v>
      </c>
      <c r="D51" t="s">
        <v>45</v>
      </c>
      <c r="E51" t="s">
        <v>67</v>
      </c>
      <c r="F51" t="s">
        <v>72</v>
      </c>
      <c r="G51" s="2">
        <v>7</v>
      </c>
      <c r="H51" s="2">
        <v>15638</v>
      </c>
      <c r="I51" s="2">
        <v>109466</v>
      </c>
      <c r="J51" t="s">
        <v>74</v>
      </c>
      <c r="K51" s="2"/>
    </row>
    <row r="52" spans="1:11" x14ac:dyDescent="0.3">
      <c r="A52" s="1">
        <v>45200</v>
      </c>
      <c r="B52" t="s">
        <v>12</v>
      </c>
      <c r="C52" t="s">
        <v>18</v>
      </c>
      <c r="D52" t="s">
        <v>43</v>
      </c>
      <c r="E52" t="s">
        <v>63</v>
      </c>
      <c r="F52" t="s">
        <v>72</v>
      </c>
      <c r="G52" s="2">
        <v>9</v>
      </c>
      <c r="H52" s="2">
        <v>1835</v>
      </c>
      <c r="I52" s="2">
        <v>16515</v>
      </c>
      <c r="J52" t="s">
        <v>77</v>
      </c>
      <c r="K52" s="2"/>
    </row>
    <row r="53" spans="1:11" x14ac:dyDescent="0.3">
      <c r="A53" s="1">
        <v>45151</v>
      </c>
      <c r="B53" t="s">
        <v>11</v>
      </c>
      <c r="C53" t="s">
        <v>29</v>
      </c>
      <c r="D53" t="s">
        <v>50</v>
      </c>
      <c r="E53" t="s">
        <v>64</v>
      </c>
      <c r="F53" t="s">
        <v>69</v>
      </c>
      <c r="G53" s="2">
        <v>5</v>
      </c>
      <c r="H53" s="2">
        <v>41064</v>
      </c>
      <c r="I53" s="2">
        <v>205320</v>
      </c>
      <c r="J53" t="s">
        <v>73</v>
      </c>
      <c r="K53" s="2"/>
    </row>
    <row r="54" spans="1:11" x14ac:dyDescent="0.3">
      <c r="A54" s="1">
        <v>45176</v>
      </c>
      <c r="B54" t="s">
        <v>11</v>
      </c>
      <c r="C54" t="s">
        <v>29</v>
      </c>
      <c r="D54" t="s">
        <v>50</v>
      </c>
      <c r="E54" t="s">
        <v>68</v>
      </c>
      <c r="F54" t="s">
        <v>69</v>
      </c>
      <c r="G54" s="2">
        <v>1</v>
      </c>
      <c r="H54" s="2">
        <v>33416</v>
      </c>
      <c r="I54" s="2">
        <v>33416</v>
      </c>
      <c r="J54" t="s">
        <v>74</v>
      </c>
      <c r="K54" s="2"/>
    </row>
    <row r="55" spans="1:11" x14ac:dyDescent="0.3">
      <c r="A55" s="1">
        <v>44954</v>
      </c>
      <c r="B55" t="s">
        <v>11</v>
      </c>
      <c r="C55" t="s">
        <v>16</v>
      </c>
      <c r="D55" t="s">
        <v>32</v>
      </c>
      <c r="E55" t="s">
        <v>57</v>
      </c>
      <c r="F55" t="s">
        <v>71</v>
      </c>
      <c r="G55" s="2">
        <v>1</v>
      </c>
      <c r="H55" s="2">
        <v>20429</v>
      </c>
      <c r="I55" s="2">
        <v>20429</v>
      </c>
      <c r="J55" t="s">
        <v>73</v>
      </c>
      <c r="K55" s="2"/>
    </row>
    <row r="56" spans="1:11" x14ac:dyDescent="0.3">
      <c r="A56" s="1">
        <v>45244</v>
      </c>
      <c r="B56" t="s">
        <v>13</v>
      </c>
      <c r="C56" t="s">
        <v>28</v>
      </c>
      <c r="D56" t="s">
        <v>51</v>
      </c>
      <c r="E56" t="s">
        <v>66</v>
      </c>
      <c r="F56" t="s">
        <v>70</v>
      </c>
      <c r="G56" s="2">
        <v>6</v>
      </c>
      <c r="H56" s="2">
        <v>11684</v>
      </c>
      <c r="I56" s="2">
        <v>70104</v>
      </c>
      <c r="J56" t="s">
        <v>80</v>
      </c>
      <c r="K56" s="2"/>
    </row>
    <row r="57" spans="1:11" x14ac:dyDescent="0.3">
      <c r="A57" s="1">
        <v>45051</v>
      </c>
      <c r="B57" t="s">
        <v>10</v>
      </c>
      <c r="C57" t="s">
        <v>14</v>
      </c>
      <c r="D57" t="s">
        <v>52</v>
      </c>
      <c r="E57" t="s">
        <v>65</v>
      </c>
      <c r="F57" t="s">
        <v>72</v>
      </c>
      <c r="G57" s="2">
        <v>8</v>
      </c>
      <c r="H57" s="2">
        <v>15902</v>
      </c>
      <c r="I57" s="2">
        <v>127216</v>
      </c>
      <c r="J57" t="s">
        <v>78</v>
      </c>
      <c r="K57" s="2"/>
    </row>
    <row r="58" spans="1:11" x14ac:dyDescent="0.3">
      <c r="A58" s="1">
        <v>45112</v>
      </c>
      <c r="B58" t="s">
        <v>12</v>
      </c>
      <c r="C58" t="s">
        <v>18</v>
      </c>
      <c r="D58" t="s">
        <v>43</v>
      </c>
      <c r="E58" t="s">
        <v>57</v>
      </c>
      <c r="F58" t="s">
        <v>71</v>
      </c>
      <c r="G58" s="2">
        <v>8</v>
      </c>
      <c r="H58" s="2">
        <v>47879</v>
      </c>
      <c r="I58" s="2">
        <v>383032</v>
      </c>
      <c r="J58" t="s">
        <v>79</v>
      </c>
      <c r="K58" s="2"/>
    </row>
    <row r="59" spans="1:11" x14ac:dyDescent="0.3">
      <c r="A59" s="1">
        <v>45117</v>
      </c>
      <c r="B59" t="s">
        <v>12</v>
      </c>
      <c r="C59" t="s">
        <v>18</v>
      </c>
      <c r="D59" t="s">
        <v>34</v>
      </c>
      <c r="E59" t="s">
        <v>67</v>
      </c>
      <c r="F59" t="s">
        <v>72</v>
      </c>
      <c r="G59" s="2">
        <v>9</v>
      </c>
      <c r="H59" s="2">
        <v>648</v>
      </c>
      <c r="I59" s="2">
        <v>5832</v>
      </c>
      <c r="J59" t="s">
        <v>76</v>
      </c>
      <c r="K59" s="2"/>
    </row>
    <row r="60" spans="1:11" x14ac:dyDescent="0.3">
      <c r="A60" s="1">
        <v>45213</v>
      </c>
      <c r="B60" t="s">
        <v>12</v>
      </c>
      <c r="C60" t="s">
        <v>22</v>
      </c>
      <c r="D60" t="s">
        <v>40</v>
      </c>
      <c r="E60" t="s">
        <v>60</v>
      </c>
      <c r="F60" t="s">
        <v>71</v>
      </c>
      <c r="G60" s="2">
        <v>4</v>
      </c>
      <c r="H60" s="2">
        <v>1550</v>
      </c>
      <c r="I60" s="2">
        <v>6200</v>
      </c>
      <c r="J60" t="s">
        <v>77</v>
      </c>
      <c r="K60" s="2"/>
    </row>
    <row r="61" spans="1:11" x14ac:dyDescent="0.3">
      <c r="A61" s="1">
        <v>44997</v>
      </c>
      <c r="B61" t="s">
        <v>13</v>
      </c>
      <c r="C61" t="s">
        <v>19</v>
      </c>
      <c r="D61" t="s">
        <v>35</v>
      </c>
      <c r="E61" t="s">
        <v>55</v>
      </c>
      <c r="F61" t="s">
        <v>70</v>
      </c>
      <c r="G61" s="2">
        <v>7</v>
      </c>
      <c r="H61" s="2">
        <v>17178</v>
      </c>
      <c r="I61" s="2">
        <v>120246</v>
      </c>
      <c r="J61" t="s">
        <v>73</v>
      </c>
      <c r="K61" s="2"/>
    </row>
    <row r="62" spans="1:11" x14ac:dyDescent="0.3">
      <c r="A62" s="1">
        <v>45009</v>
      </c>
      <c r="B62" t="s">
        <v>12</v>
      </c>
      <c r="C62" t="s">
        <v>21</v>
      </c>
      <c r="D62" t="s">
        <v>38</v>
      </c>
      <c r="E62" t="s">
        <v>64</v>
      </c>
      <c r="F62" t="s">
        <v>69</v>
      </c>
      <c r="G62" s="2">
        <v>4</v>
      </c>
      <c r="H62" s="2">
        <v>35723</v>
      </c>
      <c r="I62" s="2">
        <v>142892</v>
      </c>
      <c r="J62" t="s">
        <v>74</v>
      </c>
      <c r="K62" s="2"/>
    </row>
    <row r="63" spans="1:11" x14ac:dyDescent="0.3">
      <c r="A63" s="1">
        <v>45086</v>
      </c>
      <c r="B63" t="s">
        <v>11</v>
      </c>
      <c r="C63" t="s">
        <v>29</v>
      </c>
      <c r="D63" t="s">
        <v>50</v>
      </c>
      <c r="E63" t="s">
        <v>58</v>
      </c>
      <c r="F63" t="s">
        <v>72</v>
      </c>
      <c r="G63" s="2">
        <v>4</v>
      </c>
      <c r="H63" s="2">
        <v>22764</v>
      </c>
      <c r="I63" s="2">
        <v>91056</v>
      </c>
      <c r="J63" t="s">
        <v>77</v>
      </c>
      <c r="K63" s="2"/>
    </row>
    <row r="64" spans="1:11" x14ac:dyDescent="0.3">
      <c r="A64" s="1">
        <v>45181</v>
      </c>
      <c r="B64" t="s">
        <v>13</v>
      </c>
      <c r="C64" t="s">
        <v>19</v>
      </c>
      <c r="D64" t="s">
        <v>41</v>
      </c>
      <c r="E64" t="s">
        <v>56</v>
      </c>
      <c r="F64" t="s">
        <v>70</v>
      </c>
      <c r="G64" s="2">
        <v>1</v>
      </c>
      <c r="H64" s="2">
        <v>10439</v>
      </c>
      <c r="I64" s="2">
        <v>10439</v>
      </c>
      <c r="J64" t="s">
        <v>77</v>
      </c>
      <c r="K64" s="2"/>
    </row>
    <row r="65" spans="1:11" x14ac:dyDescent="0.3">
      <c r="A65" s="1">
        <v>45071</v>
      </c>
      <c r="B65" t="s">
        <v>11</v>
      </c>
      <c r="C65" t="s">
        <v>17</v>
      </c>
      <c r="D65" t="s">
        <v>33</v>
      </c>
      <c r="E65" t="s">
        <v>59</v>
      </c>
      <c r="F65" t="s">
        <v>71</v>
      </c>
      <c r="G65" s="2">
        <v>8</v>
      </c>
      <c r="H65" s="2">
        <v>2603</v>
      </c>
      <c r="I65" s="2">
        <v>20824</v>
      </c>
      <c r="J65" t="s">
        <v>79</v>
      </c>
      <c r="K65" s="2"/>
    </row>
    <row r="66" spans="1:11" x14ac:dyDescent="0.3">
      <c r="A66" s="1">
        <v>45167</v>
      </c>
      <c r="B66" t="s">
        <v>12</v>
      </c>
      <c r="C66" t="s">
        <v>23</v>
      </c>
      <c r="D66" t="s">
        <v>42</v>
      </c>
      <c r="E66" t="s">
        <v>63</v>
      </c>
      <c r="F66" t="s">
        <v>72</v>
      </c>
      <c r="G66" s="2">
        <v>5</v>
      </c>
      <c r="H66" s="2">
        <v>11505</v>
      </c>
      <c r="I66" s="2">
        <v>57525</v>
      </c>
      <c r="J66" t="s">
        <v>74</v>
      </c>
      <c r="K66" s="2"/>
    </row>
    <row r="67" spans="1:11" x14ac:dyDescent="0.3">
      <c r="A67" s="1">
        <v>45144</v>
      </c>
      <c r="B67" t="s">
        <v>10</v>
      </c>
      <c r="C67" t="s">
        <v>15</v>
      </c>
      <c r="D67" t="s">
        <v>31</v>
      </c>
      <c r="E67" t="s">
        <v>67</v>
      </c>
      <c r="F67" t="s">
        <v>72</v>
      </c>
      <c r="G67" s="2">
        <v>9</v>
      </c>
      <c r="H67" s="2">
        <v>55893</v>
      </c>
      <c r="I67" s="2">
        <v>503037</v>
      </c>
      <c r="J67" t="s">
        <v>74</v>
      </c>
      <c r="K67" s="2"/>
    </row>
    <row r="68" spans="1:11" x14ac:dyDescent="0.3">
      <c r="A68" s="1">
        <v>45045</v>
      </c>
      <c r="B68" t="s">
        <v>13</v>
      </c>
      <c r="C68" t="s">
        <v>20</v>
      </c>
      <c r="D68" t="s">
        <v>36</v>
      </c>
      <c r="E68" t="s">
        <v>64</v>
      </c>
      <c r="F68" t="s">
        <v>69</v>
      </c>
      <c r="G68" s="2">
        <v>3</v>
      </c>
      <c r="H68" s="2">
        <v>44460</v>
      </c>
      <c r="I68" s="2">
        <v>133380</v>
      </c>
      <c r="J68" t="s">
        <v>73</v>
      </c>
      <c r="K68" s="2"/>
    </row>
    <row r="69" spans="1:11" x14ac:dyDescent="0.3">
      <c r="A69" s="1">
        <v>44947</v>
      </c>
      <c r="B69" t="s">
        <v>13</v>
      </c>
      <c r="C69" t="s">
        <v>28</v>
      </c>
      <c r="D69" t="s">
        <v>51</v>
      </c>
      <c r="E69" t="s">
        <v>68</v>
      </c>
      <c r="F69" t="s">
        <v>69</v>
      </c>
      <c r="G69" s="2">
        <v>8</v>
      </c>
      <c r="H69" s="2">
        <v>3578</v>
      </c>
      <c r="I69" s="2">
        <v>28624</v>
      </c>
      <c r="J69" t="s">
        <v>76</v>
      </c>
      <c r="K69" s="2"/>
    </row>
    <row r="70" spans="1:11" x14ac:dyDescent="0.3">
      <c r="A70" s="1">
        <v>45079</v>
      </c>
      <c r="B70" t="s">
        <v>11</v>
      </c>
      <c r="C70" t="s">
        <v>24</v>
      </c>
      <c r="D70" t="s">
        <v>44</v>
      </c>
      <c r="E70" t="s">
        <v>57</v>
      </c>
      <c r="F70" t="s">
        <v>71</v>
      </c>
      <c r="G70" s="2">
        <v>3</v>
      </c>
      <c r="H70" s="2">
        <v>28634</v>
      </c>
      <c r="I70" s="2">
        <v>85902</v>
      </c>
      <c r="J70" t="s">
        <v>79</v>
      </c>
      <c r="K70" s="2"/>
    </row>
    <row r="71" spans="1:11" x14ac:dyDescent="0.3">
      <c r="A71" s="1">
        <v>45004</v>
      </c>
      <c r="B71" t="s">
        <v>13</v>
      </c>
      <c r="C71" t="s">
        <v>19</v>
      </c>
      <c r="D71" t="s">
        <v>35</v>
      </c>
      <c r="E71" t="s">
        <v>65</v>
      </c>
      <c r="F71" t="s">
        <v>72</v>
      </c>
      <c r="G71" s="2">
        <v>6</v>
      </c>
      <c r="H71" s="2">
        <v>41365</v>
      </c>
      <c r="I71" s="2">
        <v>248190</v>
      </c>
      <c r="J71" t="s">
        <v>80</v>
      </c>
      <c r="K71" s="2"/>
    </row>
    <row r="72" spans="1:11" x14ac:dyDescent="0.3">
      <c r="A72" s="1">
        <v>45138</v>
      </c>
      <c r="B72" t="s">
        <v>10</v>
      </c>
      <c r="C72" t="s">
        <v>26</v>
      </c>
      <c r="D72" t="s">
        <v>26</v>
      </c>
      <c r="E72" t="s">
        <v>65</v>
      </c>
      <c r="F72" t="s">
        <v>72</v>
      </c>
      <c r="G72" s="2">
        <v>7</v>
      </c>
      <c r="H72" s="2">
        <v>6533</v>
      </c>
      <c r="I72" s="2">
        <v>45731</v>
      </c>
      <c r="J72" t="s">
        <v>80</v>
      </c>
      <c r="K72" s="2"/>
    </row>
    <row r="73" spans="1:11" x14ac:dyDescent="0.3">
      <c r="A73" s="1">
        <v>45150</v>
      </c>
      <c r="B73" t="s">
        <v>12</v>
      </c>
      <c r="C73" t="s">
        <v>23</v>
      </c>
      <c r="D73" t="s">
        <v>53</v>
      </c>
      <c r="E73" t="s">
        <v>63</v>
      </c>
      <c r="F73" t="s">
        <v>72</v>
      </c>
      <c r="G73" s="2">
        <v>3</v>
      </c>
      <c r="H73" s="2">
        <v>30294</v>
      </c>
      <c r="I73" s="2">
        <v>90882</v>
      </c>
      <c r="J73" t="s">
        <v>77</v>
      </c>
      <c r="K73" s="2"/>
    </row>
    <row r="74" spans="1:11" x14ac:dyDescent="0.3">
      <c r="A74" s="1">
        <v>44981</v>
      </c>
      <c r="B74" t="s">
        <v>11</v>
      </c>
      <c r="C74" t="s">
        <v>17</v>
      </c>
      <c r="D74" t="s">
        <v>33</v>
      </c>
      <c r="E74" t="s">
        <v>59</v>
      </c>
      <c r="F74" t="s">
        <v>71</v>
      </c>
      <c r="G74" s="2">
        <v>7</v>
      </c>
      <c r="H74" s="2">
        <v>43490</v>
      </c>
      <c r="I74" s="2">
        <v>304430</v>
      </c>
      <c r="J74" t="s">
        <v>80</v>
      </c>
      <c r="K74" s="2"/>
    </row>
    <row r="75" spans="1:11" x14ac:dyDescent="0.3">
      <c r="A75" s="1">
        <v>44983</v>
      </c>
      <c r="B75" t="s">
        <v>11</v>
      </c>
      <c r="C75" t="s">
        <v>24</v>
      </c>
      <c r="D75" t="s">
        <v>44</v>
      </c>
      <c r="E75" t="s">
        <v>62</v>
      </c>
      <c r="F75" t="s">
        <v>71</v>
      </c>
      <c r="G75" s="2">
        <v>7</v>
      </c>
      <c r="H75" s="2">
        <v>4321</v>
      </c>
      <c r="I75" s="2">
        <v>30247</v>
      </c>
      <c r="J75" t="s">
        <v>73</v>
      </c>
      <c r="K75" s="2"/>
    </row>
    <row r="76" spans="1:11" x14ac:dyDescent="0.3">
      <c r="A76" s="1">
        <v>45033</v>
      </c>
      <c r="B76" t="s">
        <v>12</v>
      </c>
      <c r="C76" t="s">
        <v>18</v>
      </c>
      <c r="D76" t="s">
        <v>34</v>
      </c>
      <c r="E76" t="s">
        <v>62</v>
      </c>
      <c r="F76" t="s">
        <v>71</v>
      </c>
      <c r="G76" s="2">
        <v>4</v>
      </c>
      <c r="H76" s="2">
        <v>20341</v>
      </c>
      <c r="I76" s="2">
        <v>81364</v>
      </c>
      <c r="J76" t="s">
        <v>79</v>
      </c>
      <c r="K76" s="2"/>
    </row>
    <row r="77" spans="1:11" x14ac:dyDescent="0.3">
      <c r="A77" s="1">
        <v>45290</v>
      </c>
      <c r="B77" t="s">
        <v>11</v>
      </c>
      <c r="C77" t="s">
        <v>17</v>
      </c>
      <c r="D77" t="s">
        <v>33</v>
      </c>
      <c r="E77" t="s">
        <v>65</v>
      </c>
      <c r="F77" t="s">
        <v>72</v>
      </c>
      <c r="G77" s="2">
        <v>6</v>
      </c>
      <c r="H77" s="2">
        <v>12826</v>
      </c>
      <c r="I77" s="2">
        <v>76956</v>
      </c>
      <c r="J77" t="s">
        <v>73</v>
      </c>
      <c r="K77" s="2"/>
    </row>
    <row r="78" spans="1:11" x14ac:dyDescent="0.3">
      <c r="A78" s="1">
        <v>45090</v>
      </c>
      <c r="B78" t="s">
        <v>13</v>
      </c>
      <c r="C78" t="s">
        <v>20</v>
      </c>
      <c r="D78" t="s">
        <v>36</v>
      </c>
      <c r="E78" t="s">
        <v>62</v>
      </c>
      <c r="F78" t="s">
        <v>71</v>
      </c>
      <c r="G78" s="2">
        <v>7</v>
      </c>
      <c r="H78" s="2">
        <v>45699</v>
      </c>
      <c r="I78" s="2">
        <v>319893</v>
      </c>
      <c r="J78" t="s">
        <v>76</v>
      </c>
      <c r="K78" s="2"/>
    </row>
    <row r="79" spans="1:11" x14ac:dyDescent="0.3">
      <c r="A79" s="1">
        <v>45079</v>
      </c>
      <c r="B79" t="s">
        <v>13</v>
      </c>
      <c r="C79" t="s">
        <v>25</v>
      </c>
      <c r="D79" t="s">
        <v>46</v>
      </c>
      <c r="E79" t="s">
        <v>56</v>
      </c>
      <c r="F79" t="s">
        <v>70</v>
      </c>
      <c r="G79" s="2">
        <v>2</v>
      </c>
      <c r="H79" s="2">
        <v>45015</v>
      </c>
      <c r="I79" s="2">
        <v>90030</v>
      </c>
      <c r="J79" t="s">
        <v>79</v>
      </c>
      <c r="K79" s="2"/>
    </row>
    <row r="80" spans="1:11" x14ac:dyDescent="0.3">
      <c r="A80" s="1">
        <v>45014</v>
      </c>
      <c r="B80" t="s">
        <v>12</v>
      </c>
      <c r="C80" t="s">
        <v>22</v>
      </c>
      <c r="D80" t="s">
        <v>40</v>
      </c>
      <c r="E80" t="s">
        <v>67</v>
      </c>
      <c r="F80" t="s">
        <v>72</v>
      </c>
      <c r="G80" s="2">
        <v>9</v>
      </c>
      <c r="H80" s="2">
        <v>1032</v>
      </c>
      <c r="I80" s="2">
        <v>9288</v>
      </c>
      <c r="J80" t="s">
        <v>74</v>
      </c>
      <c r="K80" s="2"/>
    </row>
    <row r="81" spans="1:11" x14ac:dyDescent="0.3">
      <c r="A81" s="1">
        <v>44966</v>
      </c>
      <c r="B81" t="s">
        <v>13</v>
      </c>
      <c r="C81" t="s">
        <v>28</v>
      </c>
      <c r="D81" t="s">
        <v>51</v>
      </c>
      <c r="E81" t="s">
        <v>61</v>
      </c>
      <c r="F81" t="s">
        <v>69</v>
      </c>
      <c r="G81" s="2">
        <v>7</v>
      </c>
      <c r="H81" s="2">
        <v>38374</v>
      </c>
      <c r="I81" s="2">
        <v>268618</v>
      </c>
      <c r="J81" t="s">
        <v>74</v>
      </c>
      <c r="K81" s="2"/>
    </row>
    <row r="82" spans="1:11" x14ac:dyDescent="0.3">
      <c r="A82" s="1">
        <v>44933</v>
      </c>
      <c r="B82" t="s">
        <v>10</v>
      </c>
      <c r="C82" t="s">
        <v>15</v>
      </c>
      <c r="D82" t="s">
        <v>31</v>
      </c>
      <c r="E82" t="s">
        <v>68</v>
      </c>
      <c r="F82" t="s">
        <v>69</v>
      </c>
      <c r="G82" s="2">
        <v>8</v>
      </c>
      <c r="H82" s="2">
        <v>29647</v>
      </c>
      <c r="I82" s="2">
        <v>237176</v>
      </c>
      <c r="J82" t="s">
        <v>74</v>
      </c>
      <c r="K82" s="2"/>
    </row>
    <row r="83" spans="1:11" x14ac:dyDescent="0.3">
      <c r="A83" s="1">
        <v>45194</v>
      </c>
      <c r="B83" t="s">
        <v>10</v>
      </c>
      <c r="C83" t="s">
        <v>15</v>
      </c>
      <c r="D83" t="s">
        <v>39</v>
      </c>
      <c r="E83" t="s">
        <v>67</v>
      </c>
      <c r="F83" t="s">
        <v>72</v>
      </c>
      <c r="G83" s="2">
        <v>10</v>
      </c>
      <c r="H83" s="2">
        <v>38331</v>
      </c>
      <c r="I83" s="2">
        <v>383310</v>
      </c>
      <c r="J83" t="s">
        <v>77</v>
      </c>
      <c r="K83" s="2"/>
    </row>
    <row r="84" spans="1:11" x14ac:dyDescent="0.3">
      <c r="A84" s="1">
        <v>45268</v>
      </c>
      <c r="B84" t="s">
        <v>13</v>
      </c>
      <c r="C84" t="s">
        <v>28</v>
      </c>
      <c r="D84" t="s">
        <v>51</v>
      </c>
      <c r="E84" t="s">
        <v>66</v>
      </c>
      <c r="F84" t="s">
        <v>70</v>
      </c>
      <c r="G84" s="2">
        <v>8</v>
      </c>
      <c r="H84" s="2">
        <v>2699</v>
      </c>
      <c r="I84" s="2">
        <v>21592</v>
      </c>
      <c r="J84" t="s">
        <v>78</v>
      </c>
      <c r="K84" s="2"/>
    </row>
    <row r="85" spans="1:11" x14ac:dyDescent="0.3">
      <c r="A85" s="1">
        <v>44965</v>
      </c>
      <c r="B85" t="s">
        <v>12</v>
      </c>
      <c r="C85" t="s">
        <v>22</v>
      </c>
      <c r="D85" t="s">
        <v>40</v>
      </c>
      <c r="E85" t="s">
        <v>58</v>
      </c>
      <c r="F85" t="s">
        <v>72</v>
      </c>
      <c r="G85" s="2">
        <v>5</v>
      </c>
      <c r="H85" s="2">
        <v>43783</v>
      </c>
      <c r="I85" s="2">
        <v>218915</v>
      </c>
      <c r="J85" t="s">
        <v>80</v>
      </c>
      <c r="K85" s="2"/>
    </row>
    <row r="86" spans="1:11" x14ac:dyDescent="0.3">
      <c r="A86" s="1">
        <v>45277</v>
      </c>
      <c r="B86" t="s">
        <v>13</v>
      </c>
      <c r="C86" t="s">
        <v>28</v>
      </c>
      <c r="D86" t="s">
        <v>48</v>
      </c>
      <c r="E86" t="s">
        <v>63</v>
      </c>
      <c r="F86" t="s">
        <v>72</v>
      </c>
      <c r="G86" s="2">
        <v>7</v>
      </c>
      <c r="H86" s="2">
        <v>53219</v>
      </c>
      <c r="I86" s="2">
        <v>372533</v>
      </c>
      <c r="J86" t="s">
        <v>80</v>
      </c>
      <c r="K86" s="2"/>
    </row>
    <row r="87" spans="1:11" x14ac:dyDescent="0.3">
      <c r="A87" s="1">
        <v>45200</v>
      </c>
      <c r="B87" t="s">
        <v>11</v>
      </c>
      <c r="C87" t="s">
        <v>16</v>
      </c>
      <c r="D87" t="s">
        <v>32</v>
      </c>
      <c r="E87" t="s">
        <v>56</v>
      </c>
      <c r="F87" t="s">
        <v>70</v>
      </c>
      <c r="G87" s="2">
        <v>2</v>
      </c>
      <c r="H87" s="2">
        <v>1005</v>
      </c>
      <c r="I87" s="2">
        <v>2010</v>
      </c>
      <c r="J87" t="s">
        <v>75</v>
      </c>
      <c r="K87" s="2"/>
    </row>
    <row r="88" spans="1:11" x14ac:dyDescent="0.3">
      <c r="A88" s="1">
        <v>45014</v>
      </c>
      <c r="B88" t="s">
        <v>13</v>
      </c>
      <c r="C88" t="s">
        <v>19</v>
      </c>
      <c r="D88" t="s">
        <v>41</v>
      </c>
      <c r="E88" t="s">
        <v>58</v>
      </c>
      <c r="F88" t="s">
        <v>72</v>
      </c>
      <c r="G88" s="2">
        <v>3</v>
      </c>
      <c r="H88" s="2">
        <v>12780</v>
      </c>
      <c r="I88" s="2">
        <v>38340</v>
      </c>
      <c r="J88" t="s">
        <v>79</v>
      </c>
      <c r="K88" s="2"/>
    </row>
    <row r="89" spans="1:11" x14ac:dyDescent="0.3">
      <c r="A89" s="1">
        <v>45117</v>
      </c>
      <c r="B89" t="s">
        <v>11</v>
      </c>
      <c r="C89" t="s">
        <v>24</v>
      </c>
      <c r="D89" t="s">
        <v>44</v>
      </c>
      <c r="E89" t="s">
        <v>65</v>
      </c>
      <c r="F89" t="s">
        <v>72</v>
      </c>
      <c r="G89" s="2">
        <v>8</v>
      </c>
      <c r="H89" s="2">
        <v>30415</v>
      </c>
      <c r="I89" s="2">
        <v>243320</v>
      </c>
      <c r="J89" t="s">
        <v>80</v>
      </c>
      <c r="K89" s="2"/>
    </row>
    <row r="90" spans="1:11" x14ac:dyDescent="0.3">
      <c r="A90" s="1">
        <v>45280</v>
      </c>
      <c r="B90" t="s">
        <v>11</v>
      </c>
      <c r="C90" t="s">
        <v>17</v>
      </c>
      <c r="D90" t="s">
        <v>33</v>
      </c>
      <c r="E90" t="s">
        <v>62</v>
      </c>
      <c r="F90" t="s">
        <v>71</v>
      </c>
      <c r="G90" s="2">
        <v>2</v>
      </c>
      <c r="H90" s="2">
        <v>41601</v>
      </c>
      <c r="I90" s="2">
        <v>83202</v>
      </c>
      <c r="J90" t="s">
        <v>73</v>
      </c>
      <c r="K90" s="2"/>
    </row>
    <row r="91" spans="1:11" x14ac:dyDescent="0.3">
      <c r="A91" s="1">
        <v>45182</v>
      </c>
      <c r="B91" t="s">
        <v>11</v>
      </c>
      <c r="C91" t="s">
        <v>24</v>
      </c>
      <c r="D91" t="s">
        <v>44</v>
      </c>
      <c r="E91" t="s">
        <v>67</v>
      </c>
      <c r="F91" t="s">
        <v>72</v>
      </c>
      <c r="G91" s="2">
        <v>2</v>
      </c>
      <c r="H91" s="2">
        <v>18134</v>
      </c>
      <c r="I91" s="2">
        <v>36268</v>
      </c>
      <c r="J91" t="s">
        <v>77</v>
      </c>
      <c r="K91" s="2"/>
    </row>
    <row r="92" spans="1:11" x14ac:dyDescent="0.3">
      <c r="A92" s="1">
        <v>45084</v>
      </c>
      <c r="B92" t="s">
        <v>13</v>
      </c>
      <c r="C92" t="s">
        <v>20</v>
      </c>
      <c r="D92" t="s">
        <v>36</v>
      </c>
      <c r="E92" t="s">
        <v>57</v>
      </c>
      <c r="F92" t="s">
        <v>71</v>
      </c>
      <c r="G92" s="2">
        <v>1</v>
      </c>
      <c r="H92" s="2">
        <v>18112</v>
      </c>
      <c r="I92" s="2">
        <v>18112</v>
      </c>
      <c r="J92" t="s">
        <v>76</v>
      </c>
      <c r="K92" s="2"/>
    </row>
    <row r="93" spans="1:11" x14ac:dyDescent="0.3">
      <c r="A93" s="1">
        <v>45259</v>
      </c>
      <c r="B93" t="s">
        <v>11</v>
      </c>
      <c r="C93" t="s">
        <v>16</v>
      </c>
      <c r="D93" t="s">
        <v>32</v>
      </c>
      <c r="E93" t="s">
        <v>68</v>
      </c>
      <c r="F93" t="s">
        <v>69</v>
      </c>
      <c r="G93" s="2">
        <v>9</v>
      </c>
      <c r="H93" s="2">
        <v>11463</v>
      </c>
      <c r="I93" s="2">
        <v>103167</v>
      </c>
      <c r="J93" t="s">
        <v>76</v>
      </c>
      <c r="K93" s="2"/>
    </row>
    <row r="94" spans="1:11" x14ac:dyDescent="0.3">
      <c r="A94" s="1">
        <v>45168</v>
      </c>
      <c r="B94" t="s">
        <v>13</v>
      </c>
      <c r="C94" t="s">
        <v>20</v>
      </c>
      <c r="D94" t="s">
        <v>36</v>
      </c>
      <c r="E94" t="s">
        <v>54</v>
      </c>
      <c r="F94" t="s">
        <v>69</v>
      </c>
      <c r="G94" s="2">
        <v>7</v>
      </c>
      <c r="H94" s="2">
        <v>35504</v>
      </c>
      <c r="I94" s="2">
        <v>248528</v>
      </c>
      <c r="J94" t="s">
        <v>75</v>
      </c>
      <c r="K94" s="2"/>
    </row>
    <row r="95" spans="1:11" x14ac:dyDescent="0.3">
      <c r="A95" s="1">
        <v>45074</v>
      </c>
      <c r="B95" t="s">
        <v>10</v>
      </c>
      <c r="C95" t="s">
        <v>15</v>
      </c>
      <c r="D95" t="s">
        <v>39</v>
      </c>
      <c r="E95" t="s">
        <v>66</v>
      </c>
      <c r="F95" t="s">
        <v>70</v>
      </c>
      <c r="G95" s="2">
        <v>6</v>
      </c>
      <c r="H95" s="2">
        <v>39494</v>
      </c>
      <c r="I95" s="2">
        <v>236964</v>
      </c>
      <c r="J95" t="s">
        <v>79</v>
      </c>
      <c r="K95" s="2"/>
    </row>
    <row r="96" spans="1:11" x14ac:dyDescent="0.3">
      <c r="A96" s="1">
        <v>45239</v>
      </c>
      <c r="B96" t="s">
        <v>10</v>
      </c>
      <c r="C96" t="s">
        <v>26</v>
      </c>
      <c r="D96" t="s">
        <v>26</v>
      </c>
      <c r="E96" t="s">
        <v>59</v>
      </c>
      <c r="F96" t="s">
        <v>71</v>
      </c>
      <c r="G96" s="2">
        <v>3</v>
      </c>
      <c r="H96" s="2">
        <v>7652</v>
      </c>
      <c r="I96" s="2">
        <v>22956</v>
      </c>
      <c r="J96" t="s">
        <v>73</v>
      </c>
      <c r="K96" s="2"/>
    </row>
    <row r="97" spans="1:11" x14ac:dyDescent="0.3">
      <c r="A97" s="1">
        <v>45289</v>
      </c>
      <c r="B97" t="s">
        <v>12</v>
      </c>
      <c r="C97" t="s">
        <v>18</v>
      </c>
      <c r="D97" t="s">
        <v>34</v>
      </c>
      <c r="E97" t="s">
        <v>56</v>
      </c>
      <c r="F97" t="s">
        <v>70</v>
      </c>
      <c r="G97" s="2">
        <v>5</v>
      </c>
      <c r="H97" s="2">
        <v>52449</v>
      </c>
      <c r="I97" s="2">
        <v>262245</v>
      </c>
      <c r="J97" t="s">
        <v>78</v>
      </c>
      <c r="K97" s="2"/>
    </row>
    <row r="98" spans="1:11" x14ac:dyDescent="0.3">
      <c r="A98" s="1">
        <v>45011</v>
      </c>
      <c r="B98" t="s">
        <v>10</v>
      </c>
      <c r="C98" t="s">
        <v>27</v>
      </c>
      <c r="D98" t="s">
        <v>47</v>
      </c>
      <c r="E98" t="s">
        <v>58</v>
      </c>
      <c r="F98" t="s">
        <v>72</v>
      </c>
      <c r="G98" s="2">
        <v>10</v>
      </c>
      <c r="H98" s="2">
        <v>28706</v>
      </c>
      <c r="I98" s="2">
        <v>287060</v>
      </c>
      <c r="J98" t="s">
        <v>80</v>
      </c>
      <c r="K98" s="2"/>
    </row>
    <row r="99" spans="1:11" x14ac:dyDescent="0.3">
      <c r="A99" s="1">
        <v>45260</v>
      </c>
      <c r="B99" t="s">
        <v>13</v>
      </c>
      <c r="C99" t="s">
        <v>25</v>
      </c>
      <c r="D99" t="s">
        <v>46</v>
      </c>
      <c r="E99" t="s">
        <v>67</v>
      </c>
      <c r="F99" t="s">
        <v>72</v>
      </c>
      <c r="G99" s="2">
        <v>8</v>
      </c>
      <c r="H99" s="2">
        <v>18669</v>
      </c>
      <c r="I99" s="2">
        <v>149352</v>
      </c>
      <c r="J99" t="s">
        <v>76</v>
      </c>
      <c r="K99" s="2"/>
    </row>
    <row r="100" spans="1:11" x14ac:dyDescent="0.3">
      <c r="A100" s="1">
        <v>45268</v>
      </c>
      <c r="B100" t="s">
        <v>13</v>
      </c>
      <c r="C100" t="s">
        <v>28</v>
      </c>
      <c r="D100" t="s">
        <v>51</v>
      </c>
      <c r="E100" t="s">
        <v>59</v>
      </c>
      <c r="F100" t="s">
        <v>71</v>
      </c>
      <c r="G100" s="2">
        <v>3</v>
      </c>
      <c r="H100" s="2">
        <v>49184</v>
      </c>
      <c r="I100" s="2">
        <v>147552</v>
      </c>
      <c r="J100" t="s">
        <v>73</v>
      </c>
      <c r="K100" s="2"/>
    </row>
    <row r="101" spans="1:11" x14ac:dyDescent="0.3">
      <c r="A101" s="1">
        <v>44936</v>
      </c>
      <c r="B101" t="s">
        <v>12</v>
      </c>
      <c r="C101" t="s">
        <v>18</v>
      </c>
      <c r="D101" t="s">
        <v>43</v>
      </c>
      <c r="E101" t="s">
        <v>64</v>
      </c>
      <c r="F101" t="s">
        <v>69</v>
      </c>
      <c r="G101" s="2">
        <v>5</v>
      </c>
      <c r="H101" s="2">
        <v>5611</v>
      </c>
      <c r="I101" s="2">
        <v>28055</v>
      </c>
      <c r="J101" t="s">
        <v>79</v>
      </c>
      <c r="K101" s="2"/>
    </row>
    <row r="102" spans="1:11" x14ac:dyDescent="0.3">
      <c r="A102" s="1">
        <v>44948</v>
      </c>
      <c r="B102" t="s">
        <v>13</v>
      </c>
      <c r="C102" t="s">
        <v>20</v>
      </c>
      <c r="D102" t="s">
        <v>36</v>
      </c>
      <c r="E102" t="s">
        <v>61</v>
      </c>
      <c r="F102" t="s">
        <v>69</v>
      </c>
      <c r="G102" s="2">
        <v>5</v>
      </c>
      <c r="H102" s="2">
        <v>8618</v>
      </c>
      <c r="I102" s="2">
        <v>43090</v>
      </c>
      <c r="J102" t="s">
        <v>79</v>
      </c>
      <c r="K102" s="2"/>
    </row>
    <row r="103" spans="1:11" x14ac:dyDescent="0.3">
      <c r="A103" s="1">
        <v>45065</v>
      </c>
      <c r="B103" t="s">
        <v>13</v>
      </c>
      <c r="C103" t="s">
        <v>28</v>
      </c>
      <c r="D103" t="s">
        <v>51</v>
      </c>
      <c r="E103" t="s">
        <v>61</v>
      </c>
      <c r="F103" t="s">
        <v>69</v>
      </c>
      <c r="G103" s="2">
        <v>10</v>
      </c>
      <c r="H103" s="2">
        <v>6720</v>
      </c>
      <c r="I103" s="2">
        <v>67200</v>
      </c>
      <c r="J103" t="s">
        <v>73</v>
      </c>
      <c r="K103" s="2"/>
    </row>
    <row r="104" spans="1:11" x14ac:dyDescent="0.3">
      <c r="A104" s="1">
        <v>44956</v>
      </c>
      <c r="B104" t="s">
        <v>13</v>
      </c>
      <c r="C104" t="s">
        <v>20</v>
      </c>
      <c r="D104" t="s">
        <v>36</v>
      </c>
      <c r="E104" t="s">
        <v>57</v>
      </c>
      <c r="F104" t="s">
        <v>71</v>
      </c>
      <c r="G104" s="2">
        <v>9</v>
      </c>
      <c r="H104" s="2">
        <v>49846</v>
      </c>
      <c r="I104" s="2">
        <v>448614</v>
      </c>
      <c r="J104" t="s">
        <v>80</v>
      </c>
      <c r="K104" s="2"/>
    </row>
    <row r="105" spans="1:11" x14ac:dyDescent="0.3">
      <c r="A105" s="1">
        <v>44962</v>
      </c>
      <c r="B105" t="s">
        <v>12</v>
      </c>
      <c r="C105" t="s">
        <v>21</v>
      </c>
      <c r="D105" t="s">
        <v>37</v>
      </c>
      <c r="E105" t="s">
        <v>63</v>
      </c>
      <c r="F105" t="s">
        <v>72</v>
      </c>
      <c r="G105" s="2">
        <v>8</v>
      </c>
      <c r="H105" s="2">
        <v>1253</v>
      </c>
      <c r="I105" s="2">
        <v>10024</v>
      </c>
      <c r="J105" t="s">
        <v>73</v>
      </c>
      <c r="K105" s="2"/>
    </row>
    <row r="106" spans="1:11" x14ac:dyDescent="0.3">
      <c r="A106" s="1">
        <v>45055</v>
      </c>
      <c r="B106" t="s">
        <v>12</v>
      </c>
      <c r="C106" t="s">
        <v>18</v>
      </c>
      <c r="D106" t="s">
        <v>43</v>
      </c>
      <c r="E106" t="s">
        <v>54</v>
      </c>
      <c r="F106" t="s">
        <v>69</v>
      </c>
      <c r="G106" s="2">
        <v>6</v>
      </c>
      <c r="H106" s="2">
        <v>50365</v>
      </c>
      <c r="I106" s="2">
        <v>302190</v>
      </c>
      <c r="J106" t="s">
        <v>80</v>
      </c>
      <c r="K106" s="2"/>
    </row>
    <row r="107" spans="1:11" x14ac:dyDescent="0.3">
      <c r="A107" s="1">
        <v>45078</v>
      </c>
      <c r="B107" t="s">
        <v>13</v>
      </c>
      <c r="C107" t="s">
        <v>28</v>
      </c>
      <c r="D107" t="s">
        <v>48</v>
      </c>
      <c r="E107" t="s">
        <v>63</v>
      </c>
      <c r="F107" t="s">
        <v>72</v>
      </c>
      <c r="G107" s="2">
        <v>9</v>
      </c>
      <c r="H107" s="2">
        <v>15943</v>
      </c>
      <c r="I107" s="2">
        <v>143487</v>
      </c>
      <c r="J107" t="s">
        <v>80</v>
      </c>
      <c r="K107" s="2"/>
    </row>
    <row r="108" spans="1:11" x14ac:dyDescent="0.3">
      <c r="A108" s="1">
        <v>45207</v>
      </c>
      <c r="B108" t="s">
        <v>11</v>
      </c>
      <c r="C108" t="s">
        <v>24</v>
      </c>
      <c r="D108" t="s">
        <v>44</v>
      </c>
      <c r="E108" t="s">
        <v>56</v>
      </c>
      <c r="F108" t="s">
        <v>70</v>
      </c>
      <c r="G108" s="2">
        <v>8</v>
      </c>
      <c r="H108" s="2">
        <v>13498</v>
      </c>
      <c r="I108" s="2">
        <v>107984</v>
      </c>
      <c r="J108" t="s">
        <v>73</v>
      </c>
      <c r="K108" s="2"/>
    </row>
    <row r="109" spans="1:11" x14ac:dyDescent="0.3">
      <c r="A109" s="1">
        <v>45285</v>
      </c>
      <c r="B109" t="s">
        <v>13</v>
      </c>
      <c r="C109" t="s">
        <v>20</v>
      </c>
      <c r="D109" t="s">
        <v>36</v>
      </c>
      <c r="E109" t="s">
        <v>67</v>
      </c>
      <c r="F109" t="s">
        <v>72</v>
      </c>
      <c r="G109" s="2">
        <v>8</v>
      </c>
      <c r="H109" s="2">
        <v>23801</v>
      </c>
      <c r="I109" s="2">
        <v>190408</v>
      </c>
      <c r="J109" t="s">
        <v>73</v>
      </c>
      <c r="K109" s="2"/>
    </row>
    <row r="110" spans="1:11" x14ac:dyDescent="0.3">
      <c r="A110" s="1">
        <v>45203</v>
      </c>
      <c r="B110" t="s">
        <v>12</v>
      </c>
      <c r="C110" t="s">
        <v>23</v>
      </c>
      <c r="D110" t="s">
        <v>53</v>
      </c>
      <c r="E110" t="s">
        <v>59</v>
      </c>
      <c r="F110" t="s">
        <v>71</v>
      </c>
      <c r="G110" s="2">
        <v>3</v>
      </c>
      <c r="H110" s="2">
        <v>15691</v>
      </c>
      <c r="I110" s="2">
        <v>47073</v>
      </c>
      <c r="J110" t="s">
        <v>73</v>
      </c>
      <c r="K110" s="2"/>
    </row>
    <row r="111" spans="1:11" x14ac:dyDescent="0.3">
      <c r="A111" s="1">
        <v>45144</v>
      </c>
      <c r="B111" t="s">
        <v>13</v>
      </c>
      <c r="C111" t="s">
        <v>28</v>
      </c>
      <c r="D111" t="s">
        <v>51</v>
      </c>
      <c r="E111" t="s">
        <v>54</v>
      </c>
      <c r="F111" t="s">
        <v>69</v>
      </c>
      <c r="G111" s="2">
        <v>5</v>
      </c>
      <c r="H111" s="2">
        <v>35850</v>
      </c>
      <c r="I111" s="2">
        <v>179250</v>
      </c>
      <c r="J111" t="s">
        <v>79</v>
      </c>
      <c r="K111" s="2"/>
    </row>
    <row r="112" spans="1:11" x14ac:dyDescent="0.3">
      <c r="A112" s="1">
        <v>44937</v>
      </c>
      <c r="B112" t="s">
        <v>11</v>
      </c>
      <c r="C112" t="s">
        <v>17</v>
      </c>
      <c r="D112" t="s">
        <v>33</v>
      </c>
      <c r="E112" t="s">
        <v>66</v>
      </c>
      <c r="F112" t="s">
        <v>70</v>
      </c>
      <c r="G112" s="2">
        <v>4</v>
      </c>
      <c r="H112" s="2">
        <v>59841</v>
      </c>
      <c r="I112" s="2">
        <v>239364</v>
      </c>
      <c r="J112" t="s">
        <v>76</v>
      </c>
      <c r="K112" s="2"/>
    </row>
    <row r="113" spans="1:11" x14ac:dyDescent="0.3">
      <c r="A113" s="1">
        <v>45094</v>
      </c>
      <c r="B113" t="s">
        <v>13</v>
      </c>
      <c r="C113" t="s">
        <v>20</v>
      </c>
      <c r="D113" t="s">
        <v>36</v>
      </c>
      <c r="E113" t="s">
        <v>63</v>
      </c>
      <c r="F113" t="s">
        <v>72</v>
      </c>
      <c r="G113" s="2">
        <v>6</v>
      </c>
      <c r="H113" s="2">
        <v>41341</v>
      </c>
      <c r="I113" s="2">
        <v>248046</v>
      </c>
      <c r="J113" t="s">
        <v>75</v>
      </c>
      <c r="K113" s="2"/>
    </row>
    <row r="114" spans="1:11" x14ac:dyDescent="0.3">
      <c r="A114" s="1">
        <v>44992</v>
      </c>
      <c r="B114" t="s">
        <v>12</v>
      </c>
      <c r="C114" t="s">
        <v>18</v>
      </c>
      <c r="D114" t="s">
        <v>34</v>
      </c>
      <c r="E114" t="s">
        <v>54</v>
      </c>
      <c r="F114" t="s">
        <v>69</v>
      </c>
      <c r="G114" s="2">
        <v>4</v>
      </c>
      <c r="H114" s="2">
        <v>2729</v>
      </c>
      <c r="I114" s="2">
        <v>10916</v>
      </c>
      <c r="J114" t="s">
        <v>76</v>
      </c>
      <c r="K114" s="2"/>
    </row>
    <row r="115" spans="1:11" x14ac:dyDescent="0.3">
      <c r="A115" s="1">
        <v>45264</v>
      </c>
      <c r="B115" t="s">
        <v>13</v>
      </c>
      <c r="C115" t="s">
        <v>20</v>
      </c>
      <c r="D115" t="s">
        <v>36</v>
      </c>
      <c r="E115" t="s">
        <v>67</v>
      </c>
      <c r="F115" t="s">
        <v>72</v>
      </c>
      <c r="G115" s="2">
        <v>7</v>
      </c>
      <c r="H115" s="2">
        <v>50893</v>
      </c>
      <c r="I115" s="2">
        <v>356251</v>
      </c>
      <c r="J115" t="s">
        <v>75</v>
      </c>
      <c r="K115" s="2"/>
    </row>
    <row r="116" spans="1:11" x14ac:dyDescent="0.3">
      <c r="A116" s="1">
        <v>44944</v>
      </c>
      <c r="B116" t="s">
        <v>12</v>
      </c>
      <c r="C116" t="s">
        <v>22</v>
      </c>
      <c r="D116" t="s">
        <v>40</v>
      </c>
      <c r="E116" t="s">
        <v>68</v>
      </c>
      <c r="F116" t="s">
        <v>69</v>
      </c>
      <c r="G116" s="2">
        <v>2</v>
      </c>
      <c r="H116" s="2">
        <v>45035</v>
      </c>
      <c r="I116" s="2">
        <v>90070</v>
      </c>
      <c r="J116" t="s">
        <v>80</v>
      </c>
      <c r="K116" s="2"/>
    </row>
    <row r="117" spans="1:11" x14ac:dyDescent="0.3">
      <c r="A117" s="1">
        <v>45236</v>
      </c>
      <c r="B117" t="s">
        <v>11</v>
      </c>
      <c r="C117" t="s">
        <v>17</v>
      </c>
      <c r="D117" t="s">
        <v>33</v>
      </c>
      <c r="E117" t="s">
        <v>67</v>
      </c>
      <c r="F117" t="s">
        <v>72</v>
      </c>
      <c r="G117" s="2">
        <v>2</v>
      </c>
      <c r="H117" s="2">
        <v>11445</v>
      </c>
      <c r="I117" s="2">
        <v>22890</v>
      </c>
      <c r="J117" t="s">
        <v>78</v>
      </c>
      <c r="K117" s="2"/>
    </row>
    <row r="118" spans="1:11" x14ac:dyDescent="0.3">
      <c r="A118" s="1">
        <v>45125</v>
      </c>
      <c r="B118" t="s">
        <v>10</v>
      </c>
      <c r="C118" t="s">
        <v>15</v>
      </c>
      <c r="D118" t="s">
        <v>39</v>
      </c>
      <c r="E118" t="s">
        <v>55</v>
      </c>
      <c r="F118" t="s">
        <v>70</v>
      </c>
      <c r="G118" s="2">
        <v>2</v>
      </c>
      <c r="H118" s="2">
        <v>55943</v>
      </c>
      <c r="I118" s="2">
        <v>111886</v>
      </c>
      <c r="J118" t="s">
        <v>80</v>
      </c>
      <c r="K118" s="2"/>
    </row>
    <row r="119" spans="1:11" x14ac:dyDescent="0.3">
      <c r="A119" s="1">
        <v>44971</v>
      </c>
      <c r="B119" t="s">
        <v>10</v>
      </c>
      <c r="C119" t="s">
        <v>27</v>
      </c>
      <c r="D119" t="s">
        <v>49</v>
      </c>
      <c r="E119" t="s">
        <v>64</v>
      </c>
      <c r="F119" t="s">
        <v>69</v>
      </c>
      <c r="G119" s="2">
        <v>1</v>
      </c>
      <c r="H119" s="2">
        <v>58532</v>
      </c>
      <c r="I119" s="2">
        <v>58532</v>
      </c>
      <c r="J119" t="s">
        <v>79</v>
      </c>
      <c r="K119" s="2"/>
    </row>
    <row r="120" spans="1:11" x14ac:dyDescent="0.3">
      <c r="A120" s="1">
        <v>45140</v>
      </c>
      <c r="B120" t="s">
        <v>13</v>
      </c>
      <c r="C120" t="s">
        <v>19</v>
      </c>
      <c r="D120" t="s">
        <v>35</v>
      </c>
      <c r="E120" t="s">
        <v>58</v>
      </c>
      <c r="F120" t="s">
        <v>72</v>
      </c>
      <c r="G120" s="2">
        <v>5</v>
      </c>
      <c r="H120" s="2">
        <v>32929</v>
      </c>
      <c r="I120" s="2">
        <v>164645</v>
      </c>
      <c r="J120" t="s">
        <v>74</v>
      </c>
      <c r="K120" s="2"/>
    </row>
    <row r="121" spans="1:11" x14ac:dyDescent="0.3">
      <c r="A121" s="1">
        <v>45244</v>
      </c>
      <c r="B121" t="s">
        <v>12</v>
      </c>
      <c r="C121" t="s">
        <v>18</v>
      </c>
      <c r="D121" t="s">
        <v>34</v>
      </c>
      <c r="E121" t="s">
        <v>56</v>
      </c>
      <c r="F121" t="s">
        <v>70</v>
      </c>
      <c r="G121" s="2">
        <v>2</v>
      </c>
      <c r="H121" s="2">
        <v>24381</v>
      </c>
      <c r="I121" s="2">
        <v>48762</v>
      </c>
      <c r="J121" t="s">
        <v>73</v>
      </c>
      <c r="K121" s="2"/>
    </row>
    <row r="122" spans="1:11" x14ac:dyDescent="0.3">
      <c r="A122" s="1">
        <v>45136</v>
      </c>
      <c r="B122" t="s">
        <v>12</v>
      </c>
      <c r="C122" t="s">
        <v>21</v>
      </c>
      <c r="D122" t="s">
        <v>37</v>
      </c>
      <c r="E122" t="s">
        <v>61</v>
      </c>
      <c r="F122" t="s">
        <v>69</v>
      </c>
      <c r="G122" s="2">
        <v>5</v>
      </c>
      <c r="H122" s="2">
        <v>18839</v>
      </c>
      <c r="I122" s="2">
        <v>94195</v>
      </c>
      <c r="J122" t="s">
        <v>77</v>
      </c>
      <c r="K122" s="2"/>
    </row>
    <row r="123" spans="1:11" x14ac:dyDescent="0.3">
      <c r="A123" s="1">
        <v>45268</v>
      </c>
      <c r="B123" t="s">
        <v>13</v>
      </c>
      <c r="C123" t="s">
        <v>19</v>
      </c>
      <c r="D123" t="s">
        <v>35</v>
      </c>
      <c r="E123" t="s">
        <v>61</v>
      </c>
      <c r="F123" t="s">
        <v>69</v>
      </c>
      <c r="G123" s="2">
        <v>6</v>
      </c>
      <c r="H123" s="2">
        <v>15072</v>
      </c>
      <c r="I123" s="2">
        <v>90432</v>
      </c>
      <c r="J123" t="s">
        <v>79</v>
      </c>
      <c r="K123" s="2"/>
    </row>
    <row r="124" spans="1:11" x14ac:dyDescent="0.3">
      <c r="A124" s="1">
        <v>45190</v>
      </c>
      <c r="B124" t="s">
        <v>12</v>
      </c>
      <c r="C124" t="s">
        <v>22</v>
      </c>
      <c r="D124" t="s">
        <v>40</v>
      </c>
      <c r="E124" t="s">
        <v>54</v>
      </c>
      <c r="F124" t="s">
        <v>69</v>
      </c>
      <c r="G124" s="2">
        <v>6</v>
      </c>
      <c r="H124" s="2">
        <v>36333</v>
      </c>
      <c r="I124" s="2">
        <v>217998</v>
      </c>
      <c r="J124" t="s">
        <v>77</v>
      </c>
      <c r="K124" s="2"/>
    </row>
    <row r="125" spans="1:11" x14ac:dyDescent="0.3">
      <c r="A125" s="1">
        <v>45157</v>
      </c>
      <c r="B125" t="s">
        <v>11</v>
      </c>
      <c r="C125" t="s">
        <v>29</v>
      </c>
      <c r="D125" t="s">
        <v>50</v>
      </c>
      <c r="E125" t="s">
        <v>60</v>
      </c>
      <c r="F125" t="s">
        <v>71</v>
      </c>
      <c r="G125" s="2">
        <v>1</v>
      </c>
      <c r="H125" s="2">
        <v>31738</v>
      </c>
      <c r="I125" s="2">
        <v>31738</v>
      </c>
      <c r="J125" t="s">
        <v>74</v>
      </c>
      <c r="K125" s="2"/>
    </row>
    <row r="126" spans="1:11" x14ac:dyDescent="0.3">
      <c r="A126" s="1">
        <v>45209</v>
      </c>
      <c r="B126" t="s">
        <v>13</v>
      </c>
      <c r="C126" t="s">
        <v>25</v>
      </c>
      <c r="D126" t="s">
        <v>45</v>
      </c>
      <c r="E126" t="s">
        <v>56</v>
      </c>
      <c r="F126" t="s">
        <v>70</v>
      </c>
      <c r="G126" s="2">
        <v>7</v>
      </c>
      <c r="H126" s="2">
        <v>18224</v>
      </c>
      <c r="I126" s="2">
        <v>127568</v>
      </c>
      <c r="J126" t="s">
        <v>76</v>
      </c>
      <c r="K126" s="2"/>
    </row>
    <row r="127" spans="1:11" x14ac:dyDescent="0.3">
      <c r="A127" s="1">
        <v>45064</v>
      </c>
      <c r="B127" t="s">
        <v>13</v>
      </c>
      <c r="C127" t="s">
        <v>19</v>
      </c>
      <c r="D127" t="s">
        <v>35</v>
      </c>
      <c r="E127" t="s">
        <v>67</v>
      </c>
      <c r="F127" t="s">
        <v>72</v>
      </c>
      <c r="G127" s="2">
        <v>9</v>
      </c>
      <c r="H127" s="2">
        <v>54276</v>
      </c>
      <c r="I127" s="2">
        <v>488484</v>
      </c>
      <c r="J127" t="s">
        <v>75</v>
      </c>
      <c r="K127" s="2"/>
    </row>
    <row r="128" spans="1:11" x14ac:dyDescent="0.3">
      <c r="A128" s="1">
        <v>44998</v>
      </c>
      <c r="B128" t="s">
        <v>10</v>
      </c>
      <c r="C128" t="s">
        <v>26</v>
      </c>
      <c r="D128" t="s">
        <v>26</v>
      </c>
      <c r="E128" t="s">
        <v>68</v>
      </c>
      <c r="F128" t="s">
        <v>69</v>
      </c>
      <c r="G128" s="2">
        <v>3</v>
      </c>
      <c r="H128" s="2">
        <v>18766</v>
      </c>
      <c r="I128" s="2">
        <v>56298</v>
      </c>
      <c r="J128" t="s">
        <v>76</v>
      </c>
      <c r="K128" s="2"/>
    </row>
    <row r="129" spans="1:11" x14ac:dyDescent="0.3">
      <c r="A129" s="1">
        <v>45246</v>
      </c>
      <c r="B129" t="s">
        <v>12</v>
      </c>
      <c r="C129" t="s">
        <v>18</v>
      </c>
      <c r="D129" t="s">
        <v>34</v>
      </c>
      <c r="E129" t="s">
        <v>60</v>
      </c>
      <c r="F129" t="s">
        <v>71</v>
      </c>
      <c r="G129" s="2">
        <v>3</v>
      </c>
      <c r="H129" s="2">
        <v>32699</v>
      </c>
      <c r="I129" s="2">
        <v>98097</v>
      </c>
      <c r="J129" t="s">
        <v>76</v>
      </c>
      <c r="K129" s="2"/>
    </row>
    <row r="130" spans="1:11" x14ac:dyDescent="0.3">
      <c r="A130" s="1">
        <v>45000</v>
      </c>
      <c r="B130" t="s">
        <v>12</v>
      </c>
      <c r="C130" t="s">
        <v>18</v>
      </c>
      <c r="D130" t="s">
        <v>34</v>
      </c>
      <c r="E130" t="s">
        <v>55</v>
      </c>
      <c r="F130" t="s">
        <v>70</v>
      </c>
      <c r="G130" s="2">
        <v>4</v>
      </c>
      <c r="H130" s="2">
        <v>53489</v>
      </c>
      <c r="I130" s="2">
        <v>213956</v>
      </c>
      <c r="J130" t="s">
        <v>76</v>
      </c>
      <c r="K130" s="2"/>
    </row>
    <row r="131" spans="1:11" x14ac:dyDescent="0.3">
      <c r="A131" s="1">
        <v>45058</v>
      </c>
      <c r="B131" t="s">
        <v>13</v>
      </c>
      <c r="C131" t="s">
        <v>19</v>
      </c>
      <c r="D131" t="s">
        <v>35</v>
      </c>
      <c r="E131" t="s">
        <v>54</v>
      </c>
      <c r="F131" t="s">
        <v>69</v>
      </c>
      <c r="G131" s="2">
        <v>5</v>
      </c>
      <c r="H131" s="2">
        <v>2611</v>
      </c>
      <c r="I131" s="2">
        <v>13055</v>
      </c>
      <c r="J131" t="s">
        <v>77</v>
      </c>
      <c r="K131" s="2"/>
    </row>
    <row r="132" spans="1:11" x14ac:dyDescent="0.3">
      <c r="A132" s="1">
        <v>45137</v>
      </c>
      <c r="B132" t="s">
        <v>13</v>
      </c>
      <c r="C132" t="s">
        <v>28</v>
      </c>
      <c r="D132" t="s">
        <v>51</v>
      </c>
      <c r="E132" t="s">
        <v>65</v>
      </c>
      <c r="F132" t="s">
        <v>72</v>
      </c>
      <c r="G132" s="2">
        <v>3</v>
      </c>
      <c r="H132" s="2">
        <v>19568</v>
      </c>
      <c r="I132" s="2">
        <v>58704</v>
      </c>
      <c r="J132" t="s">
        <v>75</v>
      </c>
      <c r="K132" s="2"/>
    </row>
    <row r="133" spans="1:11" x14ac:dyDescent="0.3">
      <c r="A133" s="1">
        <v>45156</v>
      </c>
      <c r="B133" t="s">
        <v>13</v>
      </c>
      <c r="C133" t="s">
        <v>19</v>
      </c>
      <c r="D133" t="s">
        <v>41</v>
      </c>
      <c r="E133" t="s">
        <v>54</v>
      </c>
      <c r="F133" t="s">
        <v>69</v>
      </c>
      <c r="G133" s="2">
        <v>8</v>
      </c>
      <c r="H133" s="2">
        <v>31559</v>
      </c>
      <c r="I133" s="2">
        <v>252472</v>
      </c>
      <c r="J133" t="s">
        <v>78</v>
      </c>
      <c r="K133" s="2"/>
    </row>
    <row r="134" spans="1:11" x14ac:dyDescent="0.3">
      <c r="A134" s="1">
        <v>44948</v>
      </c>
      <c r="B134" t="s">
        <v>10</v>
      </c>
      <c r="C134" t="s">
        <v>15</v>
      </c>
      <c r="D134" t="s">
        <v>31</v>
      </c>
      <c r="E134" t="s">
        <v>62</v>
      </c>
      <c r="F134" t="s">
        <v>71</v>
      </c>
      <c r="G134" s="2">
        <v>6</v>
      </c>
      <c r="H134" s="2">
        <v>58706</v>
      </c>
      <c r="I134" s="2">
        <v>352236</v>
      </c>
      <c r="J134" t="s">
        <v>80</v>
      </c>
      <c r="K134" s="2"/>
    </row>
    <row r="135" spans="1:11" x14ac:dyDescent="0.3">
      <c r="A135" s="1">
        <v>45253</v>
      </c>
      <c r="B135" t="s">
        <v>10</v>
      </c>
      <c r="C135" t="s">
        <v>27</v>
      </c>
      <c r="D135" t="s">
        <v>49</v>
      </c>
      <c r="E135" t="s">
        <v>54</v>
      </c>
      <c r="F135" t="s">
        <v>69</v>
      </c>
      <c r="G135" s="2">
        <v>8</v>
      </c>
      <c r="H135" s="2">
        <v>16412</v>
      </c>
      <c r="I135" s="2">
        <v>131296</v>
      </c>
      <c r="J135" t="s">
        <v>76</v>
      </c>
      <c r="K135" s="2"/>
    </row>
    <row r="136" spans="1:11" x14ac:dyDescent="0.3">
      <c r="A136" s="1">
        <v>45172</v>
      </c>
      <c r="B136" t="s">
        <v>12</v>
      </c>
      <c r="C136" t="s">
        <v>23</v>
      </c>
      <c r="D136" t="s">
        <v>53</v>
      </c>
      <c r="E136" t="s">
        <v>57</v>
      </c>
      <c r="F136" t="s">
        <v>71</v>
      </c>
      <c r="G136" s="2">
        <v>1</v>
      </c>
      <c r="H136" s="2">
        <v>53014</v>
      </c>
      <c r="I136" s="2">
        <v>53014</v>
      </c>
      <c r="J136" t="s">
        <v>79</v>
      </c>
      <c r="K136" s="2"/>
    </row>
    <row r="137" spans="1:11" x14ac:dyDescent="0.3">
      <c r="A137" s="1">
        <v>45032</v>
      </c>
      <c r="B137" t="s">
        <v>10</v>
      </c>
      <c r="C137" t="s">
        <v>14</v>
      </c>
      <c r="D137" t="s">
        <v>52</v>
      </c>
      <c r="E137" t="s">
        <v>67</v>
      </c>
      <c r="F137" t="s">
        <v>72</v>
      </c>
      <c r="G137" s="2">
        <v>10</v>
      </c>
      <c r="H137" s="2">
        <v>11724</v>
      </c>
      <c r="I137" s="2">
        <v>117240</v>
      </c>
      <c r="J137" t="s">
        <v>80</v>
      </c>
      <c r="K137" s="2"/>
    </row>
    <row r="138" spans="1:11" x14ac:dyDescent="0.3">
      <c r="A138" s="1">
        <v>44942</v>
      </c>
      <c r="B138" t="s">
        <v>12</v>
      </c>
      <c r="C138" t="s">
        <v>18</v>
      </c>
      <c r="D138" t="s">
        <v>34</v>
      </c>
      <c r="E138" t="s">
        <v>65</v>
      </c>
      <c r="F138" t="s">
        <v>72</v>
      </c>
      <c r="G138" s="2">
        <v>10</v>
      </c>
      <c r="H138" s="2">
        <v>46963</v>
      </c>
      <c r="I138" s="2">
        <v>469630</v>
      </c>
      <c r="J138" t="s">
        <v>78</v>
      </c>
      <c r="K138" s="2"/>
    </row>
    <row r="139" spans="1:11" x14ac:dyDescent="0.3">
      <c r="A139" s="1">
        <v>45025</v>
      </c>
      <c r="B139" t="s">
        <v>11</v>
      </c>
      <c r="C139" t="s">
        <v>29</v>
      </c>
      <c r="D139" t="s">
        <v>50</v>
      </c>
      <c r="E139" t="s">
        <v>54</v>
      </c>
      <c r="F139" t="s">
        <v>69</v>
      </c>
      <c r="G139" s="2">
        <v>2</v>
      </c>
      <c r="H139" s="2">
        <v>14993</v>
      </c>
      <c r="I139" s="2">
        <v>29986</v>
      </c>
      <c r="J139" t="s">
        <v>80</v>
      </c>
      <c r="K139" s="2"/>
    </row>
    <row r="140" spans="1:11" x14ac:dyDescent="0.3">
      <c r="A140" s="1">
        <v>45152</v>
      </c>
      <c r="B140" t="s">
        <v>12</v>
      </c>
      <c r="C140" t="s">
        <v>23</v>
      </c>
      <c r="D140" t="s">
        <v>42</v>
      </c>
      <c r="E140" t="s">
        <v>65</v>
      </c>
      <c r="F140" t="s">
        <v>72</v>
      </c>
      <c r="G140" s="2">
        <v>8</v>
      </c>
      <c r="H140" s="2">
        <v>53416</v>
      </c>
      <c r="I140" s="2">
        <v>427328</v>
      </c>
      <c r="J140" t="s">
        <v>76</v>
      </c>
      <c r="K140" s="2"/>
    </row>
    <row r="141" spans="1:11" x14ac:dyDescent="0.3">
      <c r="A141" s="1">
        <v>45027</v>
      </c>
      <c r="B141" t="s">
        <v>11</v>
      </c>
      <c r="C141" t="s">
        <v>29</v>
      </c>
      <c r="D141" t="s">
        <v>50</v>
      </c>
      <c r="E141" t="s">
        <v>60</v>
      </c>
      <c r="F141" t="s">
        <v>71</v>
      </c>
      <c r="G141" s="2">
        <v>3</v>
      </c>
      <c r="H141" s="2">
        <v>715</v>
      </c>
      <c r="I141" s="2">
        <v>2145</v>
      </c>
      <c r="J141" t="s">
        <v>74</v>
      </c>
      <c r="K141" s="2"/>
    </row>
    <row r="142" spans="1:11" x14ac:dyDescent="0.3">
      <c r="A142" s="1">
        <v>44983</v>
      </c>
      <c r="B142" t="s">
        <v>12</v>
      </c>
      <c r="C142" t="s">
        <v>23</v>
      </c>
      <c r="D142" t="s">
        <v>53</v>
      </c>
      <c r="E142" t="s">
        <v>61</v>
      </c>
      <c r="F142" t="s">
        <v>69</v>
      </c>
      <c r="G142" s="2">
        <v>8</v>
      </c>
      <c r="H142" s="2">
        <v>27657</v>
      </c>
      <c r="I142" s="2">
        <v>221256</v>
      </c>
      <c r="J142" t="s">
        <v>80</v>
      </c>
      <c r="K142" s="2"/>
    </row>
    <row r="143" spans="1:11" x14ac:dyDescent="0.3">
      <c r="A143" s="1">
        <v>45260</v>
      </c>
      <c r="B143" t="s">
        <v>10</v>
      </c>
      <c r="C143" t="s">
        <v>26</v>
      </c>
      <c r="D143" t="s">
        <v>26</v>
      </c>
      <c r="E143" t="s">
        <v>55</v>
      </c>
      <c r="F143" t="s">
        <v>70</v>
      </c>
      <c r="G143" s="2">
        <v>8</v>
      </c>
      <c r="H143" s="2">
        <v>22658</v>
      </c>
      <c r="I143" s="2">
        <v>181264</v>
      </c>
      <c r="J143" t="s">
        <v>80</v>
      </c>
      <c r="K143" s="2"/>
    </row>
    <row r="144" spans="1:11" x14ac:dyDescent="0.3">
      <c r="A144" s="1">
        <v>45137</v>
      </c>
      <c r="B144" t="s">
        <v>10</v>
      </c>
      <c r="C144" t="s">
        <v>14</v>
      </c>
      <c r="D144" t="s">
        <v>30</v>
      </c>
      <c r="E144" t="s">
        <v>56</v>
      </c>
      <c r="F144" t="s">
        <v>70</v>
      </c>
      <c r="G144" s="2">
        <v>2</v>
      </c>
      <c r="H144" s="2">
        <v>49450</v>
      </c>
      <c r="I144" s="2">
        <v>98900</v>
      </c>
      <c r="J144" t="s">
        <v>75</v>
      </c>
      <c r="K144" s="2"/>
    </row>
    <row r="145" spans="1:11" x14ac:dyDescent="0.3">
      <c r="A145" s="1">
        <v>45163</v>
      </c>
      <c r="B145" t="s">
        <v>11</v>
      </c>
      <c r="C145" t="s">
        <v>16</v>
      </c>
      <c r="D145" t="s">
        <v>32</v>
      </c>
      <c r="E145" t="s">
        <v>65</v>
      </c>
      <c r="F145" t="s">
        <v>72</v>
      </c>
      <c r="G145" s="2">
        <v>10</v>
      </c>
      <c r="H145" s="2">
        <v>58101</v>
      </c>
      <c r="I145" s="2">
        <v>581010</v>
      </c>
      <c r="J145" t="s">
        <v>77</v>
      </c>
      <c r="K145" s="2"/>
    </row>
    <row r="146" spans="1:11" x14ac:dyDescent="0.3">
      <c r="A146" s="1">
        <v>45160</v>
      </c>
      <c r="B146" t="s">
        <v>11</v>
      </c>
      <c r="C146" t="s">
        <v>16</v>
      </c>
      <c r="D146" t="s">
        <v>32</v>
      </c>
      <c r="E146" t="s">
        <v>57</v>
      </c>
      <c r="F146" t="s">
        <v>71</v>
      </c>
      <c r="G146" s="2">
        <v>6</v>
      </c>
      <c r="H146" s="2">
        <v>18546</v>
      </c>
      <c r="I146" s="2">
        <v>111276</v>
      </c>
      <c r="J146" t="s">
        <v>75</v>
      </c>
      <c r="K146" s="2"/>
    </row>
    <row r="147" spans="1:11" x14ac:dyDescent="0.3">
      <c r="A147" s="1">
        <v>45026</v>
      </c>
      <c r="B147" t="s">
        <v>10</v>
      </c>
      <c r="C147" t="s">
        <v>27</v>
      </c>
      <c r="D147" t="s">
        <v>49</v>
      </c>
      <c r="E147" t="s">
        <v>66</v>
      </c>
      <c r="F147" t="s">
        <v>70</v>
      </c>
      <c r="G147" s="2">
        <v>3</v>
      </c>
      <c r="H147" s="2">
        <v>54071</v>
      </c>
      <c r="I147" s="2">
        <v>162213</v>
      </c>
      <c r="J147" t="s">
        <v>75</v>
      </c>
      <c r="K147" s="2"/>
    </row>
    <row r="148" spans="1:11" x14ac:dyDescent="0.3">
      <c r="A148" s="1">
        <v>45193</v>
      </c>
      <c r="B148" t="s">
        <v>10</v>
      </c>
      <c r="C148" t="s">
        <v>26</v>
      </c>
      <c r="D148" t="s">
        <v>26</v>
      </c>
      <c r="E148" t="s">
        <v>64</v>
      </c>
      <c r="F148" t="s">
        <v>69</v>
      </c>
      <c r="G148" s="2">
        <v>7</v>
      </c>
      <c r="H148" s="2">
        <v>56089</v>
      </c>
      <c r="I148" s="2">
        <v>392623</v>
      </c>
      <c r="J148" t="s">
        <v>79</v>
      </c>
      <c r="K148" s="2"/>
    </row>
    <row r="149" spans="1:11" x14ac:dyDescent="0.3">
      <c r="A149" s="1">
        <v>45099</v>
      </c>
      <c r="B149" t="s">
        <v>10</v>
      </c>
      <c r="C149" t="s">
        <v>14</v>
      </c>
      <c r="D149" t="s">
        <v>30</v>
      </c>
      <c r="E149" t="s">
        <v>58</v>
      </c>
      <c r="F149" t="s">
        <v>72</v>
      </c>
      <c r="G149" s="2">
        <v>4</v>
      </c>
      <c r="H149" s="2">
        <v>34130</v>
      </c>
      <c r="I149" s="2">
        <v>136520</v>
      </c>
      <c r="J149" t="s">
        <v>75</v>
      </c>
      <c r="K149" s="2"/>
    </row>
    <row r="150" spans="1:11" x14ac:dyDescent="0.3">
      <c r="A150" s="1">
        <v>45033</v>
      </c>
      <c r="B150" t="s">
        <v>11</v>
      </c>
      <c r="C150" t="s">
        <v>24</v>
      </c>
      <c r="D150" t="s">
        <v>44</v>
      </c>
      <c r="E150" t="s">
        <v>54</v>
      </c>
      <c r="F150" t="s">
        <v>69</v>
      </c>
      <c r="G150" s="2">
        <v>1</v>
      </c>
      <c r="H150" s="2">
        <v>53937</v>
      </c>
      <c r="I150" s="2">
        <v>53937</v>
      </c>
      <c r="J150" t="s">
        <v>77</v>
      </c>
      <c r="K150" s="2"/>
    </row>
    <row r="151" spans="1:11" x14ac:dyDescent="0.3">
      <c r="A151" s="1">
        <v>45086</v>
      </c>
      <c r="B151" t="s">
        <v>13</v>
      </c>
      <c r="C151" t="s">
        <v>25</v>
      </c>
      <c r="D151" t="s">
        <v>45</v>
      </c>
      <c r="E151" t="s">
        <v>60</v>
      </c>
      <c r="F151" t="s">
        <v>71</v>
      </c>
      <c r="G151" s="2">
        <v>1</v>
      </c>
      <c r="H151" s="2">
        <v>20217</v>
      </c>
      <c r="I151" s="2">
        <v>20217</v>
      </c>
      <c r="J151" t="s">
        <v>80</v>
      </c>
      <c r="K151" s="2"/>
    </row>
    <row r="152" spans="1:11" x14ac:dyDescent="0.3">
      <c r="A152" s="1">
        <v>44937</v>
      </c>
      <c r="B152" t="s">
        <v>10</v>
      </c>
      <c r="C152" t="s">
        <v>27</v>
      </c>
      <c r="D152" t="s">
        <v>47</v>
      </c>
      <c r="E152" t="s">
        <v>64</v>
      </c>
      <c r="F152" t="s">
        <v>69</v>
      </c>
      <c r="G152" s="2">
        <v>8</v>
      </c>
      <c r="H152" s="2">
        <v>37511</v>
      </c>
      <c r="I152" s="2">
        <v>300088</v>
      </c>
      <c r="J152" t="s">
        <v>79</v>
      </c>
      <c r="K152" s="2"/>
    </row>
    <row r="153" spans="1:11" x14ac:dyDescent="0.3">
      <c r="A153" s="1">
        <v>45193</v>
      </c>
      <c r="B153" t="s">
        <v>11</v>
      </c>
      <c r="C153" t="s">
        <v>16</v>
      </c>
      <c r="D153" t="s">
        <v>32</v>
      </c>
      <c r="E153" t="s">
        <v>67</v>
      </c>
      <c r="F153" t="s">
        <v>72</v>
      </c>
      <c r="G153" s="2">
        <v>4</v>
      </c>
      <c r="H153" s="2">
        <v>37279</v>
      </c>
      <c r="I153" s="2">
        <v>149116</v>
      </c>
      <c r="J153" t="s">
        <v>75</v>
      </c>
      <c r="K153" s="2"/>
    </row>
    <row r="154" spans="1:11" x14ac:dyDescent="0.3">
      <c r="A154" s="1">
        <v>45047</v>
      </c>
      <c r="B154" t="s">
        <v>13</v>
      </c>
      <c r="C154" t="s">
        <v>20</v>
      </c>
      <c r="D154" t="s">
        <v>36</v>
      </c>
      <c r="E154" t="s">
        <v>55</v>
      </c>
      <c r="F154" t="s">
        <v>70</v>
      </c>
      <c r="G154" s="2">
        <v>7</v>
      </c>
      <c r="H154" s="2">
        <v>17144</v>
      </c>
      <c r="I154" s="2">
        <v>120008</v>
      </c>
      <c r="J154" t="s">
        <v>74</v>
      </c>
      <c r="K154" s="2"/>
    </row>
    <row r="155" spans="1:11" x14ac:dyDescent="0.3">
      <c r="A155" s="1">
        <v>45164</v>
      </c>
      <c r="B155" t="s">
        <v>10</v>
      </c>
      <c r="C155" t="s">
        <v>15</v>
      </c>
      <c r="D155" t="s">
        <v>31</v>
      </c>
      <c r="E155" t="s">
        <v>55</v>
      </c>
      <c r="F155" t="s">
        <v>70</v>
      </c>
      <c r="G155" s="2">
        <v>6</v>
      </c>
      <c r="H155" s="2">
        <v>38908</v>
      </c>
      <c r="I155" s="2">
        <v>233448</v>
      </c>
      <c r="J155" t="s">
        <v>80</v>
      </c>
      <c r="K155" s="2"/>
    </row>
    <row r="156" spans="1:11" x14ac:dyDescent="0.3">
      <c r="A156" s="1">
        <v>45047</v>
      </c>
      <c r="B156" t="s">
        <v>12</v>
      </c>
      <c r="C156" t="s">
        <v>23</v>
      </c>
      <c r="D156" t="s">
        <v>53</v>
      </c>
      <c r="E156" t="s">
        <v>60</v>
      </c>
      <c r="F156" t="s">
        <v>71</v>
      </c>
      <c r="G156" s="2">
        <v>9</v>
      </c>
      <c r="H156" s="2">
        <v>20435</v>
      </c>
      <c r="I156" s="2">
        <v>183915</v>
      </c>
      <c r="J156" t="s">
        <v>79</v>
      </c>
      <c r="K156" s="2"/>
    </row>
    <row r="157" spans="1:11" x14ac:dyDescent="0.3">
      <c r="A157" s="1">
        <v>45036</v>
      </c>
      <c r="B157" t="s">
        <v>12</v>
      </c>
      <c r="C157" t="s">
        <v>21</v>
      </c>
      <c r="D157" t="s">
        <v>37</v>
      </c>
      <c r="E157" t="s">
        <v>59</v>
      </c>
      <c r="F157" t="s">
        <v>71</v>
      </c>
      <c r="G157" s="2">
        <v>6</v>
      </c>
      <c r="H157" s="2">
        <v>34460</v>
      </c>
      <c r="I157" s="2">
        <v>206760</v>
      </c>
      <c r="J157" t="s">
        <v>78</v>
      </c>
      <c r="K157" s="2"/>
    </row>
    <row r="158" spans="1:11" x14ac:dyDescent="0.3">
      <c r="A158" s="1">
        <v>44982</v>
      </c>
      <c r="B158" t="s">
        <v>13</v>
      </c>
      <c r="C158" t="s">
        <v>28</v>
      </c>
      <c r="D158" t="s">
        <v>51</v>
      </c>
      <c r="E158" t="s">
        <v>67</v>
      </c>
      <c r="F158" t="s">
        <v>72</v>
      </c>
      <c r="G158" s="2">
        <v>4</v>
      </c>
      <c r="H158" s="2">
        <v>59446</v>
      </c>
      <c r="I158" s="2">
        <v>237784</v>
      </c>
      <c r="J158" t="s">
        <v>74</v>
      </c>
      <c r="K158" s="2"/>
    </row>
    <row r="159" spans="1:11" x14ac:dyDescent="0.3">
      <c r="A159" s="1">
        <v>45012</v>
      </c>
      <c r="B159" t="s">
        <v>12</v>
      </c>
      <c r="C159" t="s">
        <v>18</v>
      </c>
      <c r="D159" t="s">
        <v>34</v>
      </c>
      <c r="E159" t="s">
        <v>67</v>
      </c>
      <c r="F159" t="s">
        <v>72</v>
      </c>
      <c r="G159" s="2">
        <v>10</v>
      </c>
      <c r="H159" s="2">
        <v>27352</v>
      </c>
      <c r="I159" s="2">
        <v>273520</v>
      </c>
      <c r="J159" t="s">
        <v>80</v>
      </c>
      <c r="K159" s="2"/>
    </row>
    <row r="160" spans="1:11" x14ac:dyDescent="0.3">
      <c r="A160" s="1">
        <v>45281</v>
      </c>
      <c r="B160" t="s">
        <v>11</v>
      </c>
      <c r="C160" t="s">
        <v>16</v>
      </c>
      <c r="D160" t="s">
        <v>32</v>
      </c>
      <c r="E160" t="s">
        <v>58</v>
      </c>
      <c r="F160" t="s">
        <v>72</v>
      </c>
      <c r="G160" s="2">
        <v>9</v>
      </c>
      <c r="H160" s="2">
        <v>2730</v>
      </c>
      <c r="I160" s="2">
        <v>24570</v>
      </c>
      <c r="J160" t="s">
        <v>74</v>
      </c>
      <c r="K160" s="2"/>
    </row>
    <row r="161" spans="1:11" x14ac:dyDescent="0.3">
      <c r="A161" s="1">
        <v>44977</v>
      </c>
      <c r="B161" t="s">
        <v>11</v>
      </c>
      <c r="C161" t="s">
        <v>16</v>
      </c>
      <c r="D161" t="s">
        <v>32</v>
      </c>
      <c r="E161" t="s">
        <v>67</v>
      </c>
      <c r="F161" t="s">
        <v>72</v>
      </c>
      <c r="G161" s="2">
        <v>1</v>
      </c>
      <c r="H161" s="2">
        <v>37291</v>
      </c>
      <c r="I161" s="2">
        <v>37291</v>
      </c>
      <c r="J161" t="s">
        <v>78</v>
      </c>
      <c r="K161" s="2"/>
    </row>
    <row r="162" spans="1:11" x14ac:dyDescent="0.3">
      <c r="A162" s="1">
        <v>45015</v>
      </c>
      <c r="B162" t="s">
        <v>12</v>
      </c>
      <c r="C162" t="s">
        <v>21</v>
      </c>
      <c r="D162" t="s">
        <v>38</v>
      </c>
      <c r="E162" t="s">
        <v>58</v>
      </c>
      <c r="F162" t="s">
        <v>72</v>
      </c>
      <c r="G162" s="2">
        <v>3</v>
      </c>
      <c r="H162" s="2">
        <v>14865</v>
      </c>
      <c r="I162" s="2">
        <v>44595</v>
      </c>
      <c r="J162" t="s">
        <v>77</v>
      </c>
      <c r="K162" s="2"/>
    </row>
    <row r="163" spans="1:11" x14ac:dyDescent="0.3">
      <c r="A163" s="1">
        <v>45283</v>
      </c>
      <c r="B163" t="s">
        <v>10</v>
      </c>
      <c r="C163" t="s">
        <v>26</v>
      </c>
      <c r="D163" t="s">
        <v>26</v>
      </c>
      <c r="E163" t="s">
        <v>59</v>
      </c>
      <c r="F163" t="s">
        <v>71</v>
      </c>
      <c r="G163" s="2">
        <v>9</v>
      </c>
      <c r="H163" s="2">
        <v>3234</v>
      </c>
      <c r="I163" s="2">
        <v>29106</v>
      </c>
      <c r="J163" t="s">
        <v>79</v>
      </c>
      <c r="K163" s="2"/>
    </row>
    <row r="164" spans="1:11" x14ac:dyDescent="0.3">
      <c r="A164" s="1">
        <v>45048</v>
      </c>
      <c r="B164" t="s">
        <v>12</v>
      </c>
      <c r="C164" t="s">
        <v>22</v>
      </c>
      <c r="D164" t="s">
        <v>40</v>
      </c>
      <c r="E164" t="s">
        <v>63</v>
      </c>
      <c r="F164" t="s">
        <v>72</v>
      </c>
      <c r="G164" s="2">
        <v>3</v>
      </c>
      <c r="H164" s="2">
        <v>32044</v>
      </c>
      <c r="I164" s="2">
        <v>96132</v>
      </c>
      <c r="J164" t="s">
        <v>74</v>
      </c>
      <c r="K164" s="2"/>
    </row>
    <row r="165" spans="1:11" x14ac:dyDescent="0.3">
      <c r="A165" s="1">
        <v>45097</v>
      </c>
      <c r="B165" t="s">
        <v>10</v>
      </c>
      <c r="C165" t="s">
        <v>26</v>
      </c>
      <c r="D165" t="s">
        <v>26</v>
      </c>
      <c r="E165" t="s">
        <v>55</v>
      </c>
      <c r="F165" t="s">
        <v>70</v>
      </c>
      <c r="G165" s="2">
        <v>3</v>
      </c>
      <c r="H165" s="2">
        <v>18870</v>
      </c>
      <c r="I165" s="2">
        <v>56610</v>
      </c>
      <c r="J165" t="s">
        <v>80</v>
      </c>
      <c r="K165" s="2"/>
    </row>
    <row r="166" spans="1:11" x14ac:dyDescent="0.3">
      <c r="A166" s="1">
        <v>45075</v>
      </c>
      <c r="B166" t="s">
        <v>12</v>
      </c>
      <c r="C166" t="s">
        <v>18</v>
      </c>
      <c r="D166" t="s">
        <v>34</v>
      </c>
      <c r="E166" t="s">
        <v>60</v>
      </c>
      <c r="F166" t="s">
        <v>71</v>
      </c>
      <c r="G166" s="2">
        <v>2</v>
      </c>
      <c r="H166" s="2">
        <v>54284</v>
      </c>
      <c r="I166" s="2">
        <v>108568</v>
      </c>
      <c r="J166" t="s">
        <v>74</v>
      </c>
      <c r="K166" s="2"/>
    </row>
    <row r="167" spans="1:11" x14ac:dyDescent="0.3">
      <c r="A167" s="1">
        <v>45102</v>
      </c>
      <c r="B167" t="s">
        <v>10</v>
      </c>
      <c r="C167" t="s">
        <v>27</v>
      </c>
      <c r="D167" t="s">
        <v>49</v>
      </c>
      <c r="E167" t="s">
        <v>67</v>
      </c>
      <c r="F167" t="s">
        <v>72</v>
      </c>
      <c r="G167" s="2">
        <v>2</v>
      </c>
      <c r="H167" s="2">
        <v>15789</v>
      </c>
      <c r="I167" s="2">
        <v>31578</v>
      </c>
      <c r="J167" t="s">
        <v>73</v>
      </c>
      <c r="K167" s="2"/>
    </row>
    <row r="168" spans="1:11" x14ac:dyDescent="0.3">
      <c r="A168" s="1">
        <v>45210</v>
      </c>
      <c r="B168" t="s">
        <v>13</v>
      </c>
      <c r="C168" t="s">
        <v>19</v>
      </c>
      <c r="D168" t="s">
        <v>35</v>
      </c>
      <c r="E168" t="s">
        <v>56</v>
      </c>
      <c r="F168" t="s">
        <v>70</v>
      </c>
      <c r="G168" s="2">
        <v>3</v>
      </c>
      <c r="H168" s="2">
        <v>59771</v>
      </c>
      <c r="I168" s="2">
        <v>179313</v>
      </c>
      <c r="J168" t="s">
        <v>80</v>
      </c>
      <c r="K168" s="2"/>
    </row>
    <row r="169" spans="1:11" x14ac:dyDescent="0.3">
      <c r="A169" s="1">
        <v>45077</v>
      </c>
      <c r="B169" t="s">
        <v>10</v>
      </c>
      <c r="C169" t="s">
        <v>14</v>
      </c>
      <c r="D169" t="s">
        <v>52</v>
      </c>
      <c r="E169" t="s">
        <v>68</v>
      </c>
      <c r="F169" t="s">
        <v>69</v>
      </c>
      <c r="G169" s="2">
        <v>10</v>
      </c>
      <c r="H169" s="2">
        <v>5379</v>
      </c>
      <c r="I169" s="2">
        <v>53790</v>
      </c>
      <c r="J169" t="s">
        <v>80</v>
      </c>
      <c r="K169" s="2"/>
    </row>
    <row r="170" spans="1:11" x14ac:dyDescent="0.3">
      <c r="A170" s="1">
        <v>45009</v>
      </c>
      <c r="B170" t="s">
        <v>12</v>
      </c>
      <c r="C170" t="s">
        <v>23</v>
      </c>
      <c r="D170" t="s">
        <v>53</v>
      </c>
      <c r="E170" t="s">
        <v>55</v>
      </c>
      <c r="F170" t="s">
        <v>70</v>
      </c>
      <c r="G170" s="2">
        <v>4</v>
      </c>
      <c r="H170" s="2">
        <v>16257</v>
      </c>
      <c r="I170" s="2">
        <v>65028</v>
      </c>
      <c r="J170" t="s">
        <v>73</v>
      </c>
      <c r="K170" s="2"/>
    </row>
    <row r="171" spans="1:11" x14ac:dyDescent="0.3">
      <c r="A171" s="1">
        <v>45251</v>
      </c>
      <c r="B171" t="s">
        <v>12</v>
      </c>
      <c r="C171" t="s">
        <v>23</v>
      </c>
      <c r="D171" t="s">
        <v>42</v>
      </c>
      <c r="E171" t="s">
        <v>54</v>
      </c>
      <c r="F171" t="s">
        <v>69</v>
      </c>
      <c r="G171" s="2">
        <v>7</v>
      </c>
      <c r="H171" s="2">
        <v>4972</v>
      </c>
      <c r="I171" s="2">
        <v>34804</v>
      </c>
      <c r="J171" t="s">
        <v>78</v>
      </c>
      <c r="K171" s="2"/>
    </row>
    <row r="172" spans="1:11" x14ac:dyDescent="0.3">
      <c r="A172" s="1">
        <v>45230</v>
      </c>
      <c r="B172" t="s">
        <v>11</v>
      </c>
      <c r="C172" t="s">
        <v>24</v>
      </c>
      <c r="D172" t="s">
        <v>44</v>
      </c>
      <c r="E172" t="s">
        <v>56</v>
      </c>
      <c r="F172" t="s">
        <v>70</v>
      </c>
      <c r="G172" s="2">
        <v>5</v>
      </c>
      <c r="H172" s="2">
        <v>651</v>
      </c>
      <c r="I172" s="2">
        <v>3255</v>
      </c>
      <c r="J172" t="s">
        <v>75</v>
      </c>
      <c r="K172" s="2"/>
    </row>
    <row r="173" spans="1:11" x14ac:dyDescent="0.3">
      <c r="A173" s="1">
        <v>45182</v>
      </c>
      <c r="B173" t="s">
        <v>12</v>
      </c>
      <c r="C173" t="s">
        <v>22</v>
      </c>
      <c r="D173" t="s">
        <v>40</v>
      </c>
      <c r="E173" t="s">
        <v>55</v>
      </c>
      <c r="F173" t="s">
        <v>70</v>
      </c>
      <c r="G173" s="2">
        <v>4</v>
      </c>
      <c r="H173" s="2">
        <v>33793</v>
      </c>
      <c r="I173" s="2">
        <v>135172</v>
      </c>
      <c r="J173" t="s">
        <v>73</v>
      </c>
      <c r="K173" s="2"/>
    </row>
    <row r="174" spans="1:11" x14ac:dyDescent="0.3">
      <c r="A174" s="1">
        <v>45048</v>
      </c>
      <c r="B174" t="s">
        <v>13</v>
      </c>
      <c r="C174" t="s">
        <v>25</v>
      </c>
      <c r="D174" t="s">
        <v>45</v>
      </c>
      <c r="E174" t="s">
        <v>56</v>
      </c>
      <c r="F174" t="s">
        <v>70</v>
      </c>
      <c r="G174" s="2">
        <v>4</v>
      </c>
      <c r="H174" s="2">
        <v>52527</v>
      </c>
      <c r="I174" s="2">
        <v>210108</v>
      </c>
      <c r="J174" t="s">
        <v>78</v>
      </c>
      <c r="K174" s="2"/>
    </row>
    <row r="175" spans="1:11" x14ac:dyDescent="0.3">
      <c r="A175" s="1">
        <v>44964</v>
      </c>
      <c r="B175" t="s">
        <v>11</v>
      </c>
      <c r="C175" t="s">
        <v>24</v>
      </c>
      <c r="D175" t="s">
        <v>44</v>
      </c>
      <c r="E175" t="s">
        <v>60</v>
      </c>
      <c r="F175" t="s">
        <v>71</v>
      </c>
      <c r="G175" s="2">
        <v>2</v>
      </c>
      <c r="H175" s="2">
        <v>26350</v>
      </c>
      <c r="I175" s="2">
        <v>52700</v>
      </c>
      <c r="J175" t="s">
        <v>76</v>
      </c>
      <c r="K175" s="2"/>
    </row>
    <row r="176" spans="1:11" x14ac:dyDescent="0.3">
      <c r="A176" s="1">
        <v>45193</v>
      </c>
      <c r="B176" t="s">
        <v>12</v>
      </c>
      <c r="C176" t="s">
        <v>22</v>
      </c>
      <c r="D176" t="s">
        <v>40</v>
      </c>
      <c r="E176" t="s">
        <v>55</v>
      </c>
      <c r="F176" t="s">
        <v>70</v>
      </c>
      <c r="G176" s="2">
        <v>7</v>
      </c>
      <c r="H176" s="2">
        <v>24971</v>
      </c>
      <c r="I176" s="2">
        <v>174797</v>
      </c>
      <c r="J176" t="s">
        <v>75</v>
      </c>
      <c r="K176" s="2"/>
    </row>
    <row r="177" spans="1:11" x14ac:dyDescent="0.3">
      <c r="A177" s="1">
        <v>45074</v>
      </c>
      <c r="B177" t="s">
        <v>11</v>
      </c>
      <c r="C177" t="s">
        <v>17</v>
      </c>
      <c r="D177" t="s">
        <v>33</v>
      </c>
      <c r="E177" t="s">
        <v>57</v>
      </c>
      <c r="F177" t="s">
        <v>71</v>
      </c>
      <c r="G177" s="2">
        <v>10</v>
      </c>
      <c r="H177" s="2">
        <v>22591</v>
      </c>
      <c r="I177" s="2">
        <v>225910</v>
      </c>
      <c r="J177" t="s">
        <v>77</v>
      </c>
      <c r="K177" s="2"/>
    </row>
    <row r="178" spans="1:11" x14ac:dyDescent="0.3">
      <c r="A178" s="1">
        <v>45239</v>
      </c>
      <c r="B178" t="s">
        <v>12</v>
      </c>
      <c r="C178" t="s">
        <v>22</v>
      </c>
      <c r="D178" t="s">
        <v>40</v>
      </c>
      <c r="E178" t="s">
        <v>63</v>
      </c>
      <c r="F178" t="s">
        <v>72</v>
      </c>
      <c r="G178" s="2">
        <v>5</v>
      </c>
      <c r="H178" s="2">
        <v>18831</v>
      </c>
      <c r="I178" s="2">
        <v>94155</v>
      </c>
      <c r="J178" t="s">
        <v>75</v>
      </c>
      <c r="K178" s="2"/>
    </row>
    <row r="179" spans="1:11" x14ac:dyDescent="0.3">
      <c r="A179" s="1">
        <v>45046</v>
      </c>
      <c r="B179" t="s">
        <v>10</v>
      </c>
      <c r="C179" t="s">
        <v>15</v>
      </c>
      <c r="D179" t="s">
        <v>39</v>
      </c>
      <c r="E179" t="s">
        <v>61</v>
      </c>
      <c r="F179" t="s">
        <v>69</v>
      </c>
      <c r="G179" s="2">
        <v>5</v>
      </c>
      <c r="H179" s="2">
        <v>44175</v>
      </c>
      <c r="I179" s="2">
        <v>220875</v>
      </c>
      <c r="J179" t="s">
        <v>79</v>
      </c>
      <c r="K179" s="2"/>
    </row>
    <row r="180" spans="1:11" x14ac:dyDescent="0.3">
      <c r="A180" s="1">
        <v>45061</v>
      </c>
      <c r="B180" t="s">
        <v>11</v>
      </c>
      <c r="C180" t="s">
        <v>24</v>
      </c>
      <c r="D180" t="s">
        <v>44</v>
      </c>
      <c r="E180" t="s">
        <v>56</v>
      </c>
      <c r="F180" t="s">
        <v>70</v>
      </c>
      <c r="G180" s="2">
        <v>10</v>
      </c>
      <c r="H180" s="2">
        <v>7351</v>
      </c>
      <c r="I180" s="2">
        <v>73510</v>
      </c>
      <c r="J180" t="s">
        <v>77</v>
      </c>
      <c r="K180" s="2"/>
    </row>
    <row r="181" spans="1:11" x14ac:dyDescent="0.3">
      <c r="A181" s="1">
        <v>44962</v>
      </c>
      <c r="B181" t="s">
        <v>10</v>
      </c>
      <c r="C181" t="s">
        <v>26</v>
      </c>
      <c r="D181" t="s">
        <v>26</v>
      </c>
      <c r="E181" t="s">
        <v>57</v>
      </c>
      <c r="F181" t="s">
        <v>71</v>
      </c>
      <c r="G181" s="2">
        <v>6</v>
      </c>
      <c r="H181" s="2">
        <v>1752</v>
      </c>
      <c r="I181" s="2">
        <v>10512</v>
      </c>
      <c r="J181" t="s">
        <v>73</v>
      </c>
      <c r="K181" s="2"/>
    </row>
    <row r="182" spans="1:11" x14ac:dyDescent="0.3">
      <c r="A182" s="1">
        <v>45126</v>
      </c>
      <c r="B182" t="s">
        <v>13</v>
      </c>
      <c r="C182" t="s">
        <v>25</v>
      </c>
      <c r="D182" t="s">
        <v>46</v>
      </c>
      <c r="E182" t="s">
        <v>63</v>
      </c>
      <c r="F182" t="s">
        <v>72</v>
      </c>
      <c r="G182" s="2">
        <v>1</v>
      </c>
      <c r="H182" s="2">
        <v>24879</v>
      </c>
      <c r="I182" s="2">
        <v>24879</v>
      </c>
      <c r="J182" t="s">
        <v>80</v>
      </c>
      <c r="K182" s="2"/>
    </row>
    <row r="183" spans="1:11" x14ac:dyDescent="0.3">
      <c r="A183" s="1">
        <v>44973</v>
      </c>
      <c r="B183" t="s">
        <v>10</v>
      </c>
      <c r="C183" t="s">
        <v>26</v>
      </c>
      <c r="D183" t="s">
        <v>26</v>
      </c>
      <c r="E183" t="s">
        <v>54</v>
      </c>
      <c r="F183" t="s">
        <v>69</v>
      </c>
      <c r="G183" s="2">
        <v>3</v>
      </c>
      <c r="H183" s="2">
        <v>42275</v>
      </c>
      <c r="I183" s="2">
        <v>126825</v>
      </c>
      <c r="J183" t="s">
        <v>79</v>
      </c>
      <c r="K183" s="2"/>
    </row>
    <row r="184" spans="1:11" x14ac:dyDescent="0.3">
      <c r="A184" s="1">
        <v>45249</v>
      </c>
      <c r="B184" t="s">
        <v>11</v>
      </c>
      <c r="C184" t="s">
        <v>17</v>
      </c>
      <c r="D184" t="s">
        <v>33</v>
      </c>
      <c r="E184" t="s">
        <v>63</v>
      </c>
      <c r="F184" t="s">
        <v>72</v>
      </c>
      <c r="G184" s="2">
        <v>8</v>
      </c>
      <c r="H184" s="2">
        <v>13887</v>
      </c>
      <c r="I184" s="2">
        <v>111096</v>
      </c>
      <c r="J184" t="s">
        <v>74</v>
      </c>
      <c r="K184" s="2"/>
    </row>
    <row r="185" spans="1:11" x14ac:dyDescent="0.3">
      <c r="A185" s="1">
        <v>45186</v>
      </c>
      <c r="B185" t="s">
        <v>10</v>
      </c>
      <c r="C185" t="s">
        <v>14</v>
      </c>
      <c r="D185" t="s">
        <v>52</v>
      </c>
      <c r="E185" t="s">
        <v>62</v>
      </c>
      <c r="F185" t="s">
        <v>71</v>
      </c>
      <c r="G185" s="2">
        <v>9</v>
      </c>
      <c r="H185" s="2">
        <v>20904</v>
      </c>
      <c r="I185" s="2">
        <v>188136</v>
      </c>
      <c r="J185" t="s">
        <v>76</v>
      </c>
      <c r="K185" s="2"/>
    </row>
    <row r="186" spans="1:11" x14ac:dyDescent="0.3">
      <c r="A186" s="1">
        <v>45279</v>
      </c>
      <c r="B186" t="s">
        <v>13</v>
      </c>
      <c r="C186" t="s">
        <v>25</v>
      </c>
      <c r="D186" t="s">
        <v>46</v>
      </c>
      <c r="E186" t="s">
        <v>63</v>
      </c>
      <c r="F186" t="s">
        <v>72</v>
      </c>
      <c r="G186" s="2">
        <v>10</v>
      </c>
      <c r="H186" s="2">
        <v>16292</v>
      </c>
      <c r="I186" s="2">
        <v>162920</v>
      </c>
      <c r="J186" t="s">
        <v>75</v>
      </c>
      <c r="K186" s="2"/>
    </row>
    <row r="187" spans="1:11" x14ac:dyDescent="0.3">
      <c r="A187" s="1">
        <v>45224</v>
      </c>
      <c r="B187" t="s">
        <v>13</v>
      </c>
      <c r="C187" t="s">
        <v>25</v>
      </c>
      <c r="D187" t="s">
        <v>45</v>
      </c>
      <c r="E187" t="s">
        <v>61</v>
      </c>
      <c r="F187" t="s">
        <v>69</v>
      </c>
      <c r="G187" s="2">
        <v>3</v>
      </c>
      <c r="H187" s="2">
        <v>50177</v>
      </c>
      <c r="I187" s="2">
        <v>150531</v>
      </c>
      <c r="J187" t="s">
        <v>79</v>
      </c>
      <c r="K187" s="2"/>
    </row>
    <row r="188" spans="1:11" x14ac:dyDescent="0.3">
      <c r="A188" s="1">
        <v>45274</v>
      </c>
      <c r="B188" t="s">
        <v>12</v>
      </c>
      <c r="C188" t="s">
        <v>18</v>
      </c>
      <c r="D188" t="s">
        <v>34</v>
      </c>
      <c r="E188" t="s">
        <v>66</v>
      </c>
      <c r="F188" t="s">
        <v>70</v>
      </c>
      <c r="G188" s="2">
        <v>5</v>
      </c>
      <c r="H188" s="2">
        <v>40639</v>
      </c>
      <c r="I188" s="2">
        <v>203195</v>
      </c>
      <c r="J188" t="s">
        <v>73</v>
      </c>
      <c r="K188" s="2"/>
    </row>
    <row r="189" spans="1:11" x14ac:dyDescent="0.3">
      <c r="A189" s="1">
        <v>45063</v>
      </c>
      <c r="B189" t="s">
        <v>12</v>
      </c>
      <c r="C189" t="s">
        <v>22</v>
      </c>
      <c r="D189" t="s">
        <v>40</v>
      </c>
      <c r="E189" t="s">
        <v>56</v>
      </c>
      <c r="F189" t="s">
        <v>70</v>
      </c>
      <c r="G189" s="2">
        <v>10</v>
      </c>
      <c r="H189" s="2">
        <v>28829</v>
      </c>
      <c r="I189" s="2">
        <v>288290</v>
      </c>
      <c r="J189" t="s">
        <v>79</v>
      </c>
      <c r="K189" s="2"/>
    </row>
    <row r="190" spans="1:11" x14ac:dyDescent="0.3">
      <c r="A190" s="1">
        <v>45256</v>
      </c>
      <c r="B190" t="s">
        <v>10</v>
      </c>
      <c r="C190" t="s">
        <v>15</v>
      </c>
      <c r="D190" t="s">
        <v>39</v>
      </c>
      <c r="E190" t="s">
        <v>60</v>
      </c>
      <c r="F190" t="s">
        <v>71</v>
      </c>
      <c r="G190" s="2">
        <v>6</v>
      </c>
      <c r="H190" s="2">
        <v>28344</v>
      </c>
      <c r="I190" s="2">
        <v>170064</v>
      </c>
      <c r="J190" t="s">
        <v>74</v>
      </c>
      <c r="K190" s="2"/>
    </row>
    <row r="191" spans="1:11" x14ac:dyDescent="0.3">
      <c r="A191" s="1">
        <v>44942</v>
      </c>
      <c r="B191" t="s">
        <v>10</v>
      </c>
      <c r="C191" t="s">
        <v>26</v>
      </c>
      <c r="D191" t="s">
        <v>26</v>
      </c>
      <c r="E191" t="s">
        <v>67</v>
      </c>
      <c r="F191" t="s">
        <v>72</v>
      </c>
      <c r="G191" s="2">
        <v>4</v>
      </c>
      <c r="H191" s="2">
        <v>44734</v>
      </c>
      <c r="I191" s="2">
        <v>178936</v>
      </c>
      <c r="J191" t="s">
        <v>80</v>
      </c>
      <c r="K191" s="2"/>
    </row>
    <row r="192" spans="1:11" x14ac:dyDescent="0.3">
      <c r="A192" s="1">
        <v>44979</v>
      </c>
      <c r="B192" t="s">
        <v>11</v>
      </c>
      <c r="C192" t="s">
        <v>24</v>
      </c>
      <c r="D192" t="s">
        <v>44</v>
      </c>
      <c r="E192" t="s">
        <v>58</v>
      </c>
      <c r="F192" t="s">
        <v>72</v>
      </c>
      <c r="G192" s="2">
        <v>6</v>
      </c>
      <c r="H192" s="2">
        <v>50289</v>
      </c>
      <c r="I192" s="2">
        <v>301734</v>
      </c>
      <c r="J192" t="s">
        <v>73</v>
      </c>
      <c r="K192" s="2"/>
    </row>
    <row r="193" spans="1:11" x14ac:dyDescent="0.3">
      <c r="A193" s="1">
        <v>45155</v>
      </c>
      <c r="B193" t="s">
        <v>10</v>
      </c>
      <c r="C193" t="s">
        <v>27</v>
      </c>
      <c r="D193" t="s">
        <v>49</v>
      </c>
      <c r="E193" t="s">
        <v>55</v>
      </c>
      <c r="F193" t="s">
        <v>70</v>
      </c>
      <c r="G193" s="2">
        <v>4</v>
      </c>
      <c r="H193" s="2">
        <v>59935</v>
      </c>
      <c r="I193" s="2">
        <v>239740</v>
      </c>
      <c r="J193" t="s">
        <v>74</v>
      </c>
      <c r="K193" s="2"/>
    </row>
    <row r="194" spans="1:11" x14ac:dyDescent="0.3">
      <c r="A194" s="1">
        <v>45217</v>
      </c>
      <c r="B194" t="s">
        <v>10</v>
      </c>
      <c r="C194" t="s">
        <v>26</v>
      </c>
      <c r="D194" t="s">
        <v>26</v>
      </c>
      <c r="E194" t="s">
        <v>56</v>
      </c>
      <c r="F194" t="s">
        <v>70</v>
      </c>
      <c r="G194" s="2">
        <v>10</v>
      </c>
      <c r="H194" s="2">
        <v>58645</v>
      </c>
      <c r="I194" s="2">
        <v>586450</v>
      </c>
      <c r="J194" t="s">
        <v>76</v>
      </c>
      <c r="K194" s="2"/>
    </row>
    <row r="195" spans="1:11" x14ac:dyDescent="0.3">
      <c r="A195" s="1">
        <v>44969</v>
      </c>
      <c r="B195" t="s">
        <v>11</v>
      </c>
      <c r="C195" t="s">
        <v>29</v>
      </c>
      <c r="D195" t="s">
        <v>50</v>
      </c>
      <c r="E195" t="s">
        <v>55</v>
      </c>
      <c r="F195" t="s">
        <v>70</v>
      </c>
      <c r="G195" s="2">
        <v>1</v>
      </c>
      <c r="H195" s="2">
        <v>26968</v>
      </c>
      <c r="I195" s="2">
        <v>26968</v>
      </c>
      <c r="J195" t="s">
        <v>74</v>
      </c>
      <c r="K195" s="2"/>
    </row>
    <row r="196" spans="1:11" x14ac:dyDescent="0.3">
      <c r="A196" s="1">
        <v>45219</v>
      </c>
      <c r="B196" t="s">
        <v>10</v>
      </c>
      <c r="C196" t="s">
        <v>26</v>
      </c>
      <c r="D196" t="s">
        <v>26</v>
      </c>
      <c r="E196" t="s">
        <v>58</v>
      </c>
      <c r="F196" t="s">
        <v>72</v>
      </c>
      <c r="G196" s="2">
        <v>3</v>
      </c>
      <c r="H196" s="2">
        <v>5156</v>
      </c>
      <c r="I196" s="2">
        <v>15468</v>
      </c>
      <c r="J196" t="s">
        <v>79</v>
      </c>
      <c r="K196" s="2"/>
    </row>
    <row r="197" spans="1:11" x14ac:dyDescent="0.3">
      <c r="A197" s="1">
        <v>45251</v>
      </c>
      <c r="B197" t="s">
        <v>13</v>
      </c>
      <c r="C197" t="s">
        <v>20</v>
      </c>
      <c r="D197" t="s">
        <v>36</v>
      </c>
      <c r="E197" t="s">
        <v>68</v>
      </c>
      <c r="F197" t="s">
        <v>69</v>
      </c>
      <c r="G197" s="2">
        <v>6</v>
      </c>
      <c r="H197" s="2">
        <v>33621</v>
      </c>
      <c r="I197" s="2">
        <v>201726</v>
      </c>
      <c r="J197" t="s">
        <v>80</v>
      </c>
      <c r="K197" s="2"/>
    </row>
    <row r="198" spans="1:11" x14ac:dyDescent="0.3">
      <c r="A198" s="1">
        <v>45078</v>
      </c>
      <c r="B198" t="s">
        <v>12</v>
      </c>
      <c r="C198" t="s">
        <v>22</v>
      </c>
      <c r="D198" t="s">
        <v>40</v>
      </c>
      <c r="E198" t="s">
        <v>56</v>
      </c>
      <c r="F198" t="s">
        <v>70</v>
      </c>
      <c r="G198" s="2">
        <v>8</v>
      </c>
      <c r="H198" s="2">
        <v>40238</v>
      </c>
      <c r="I198" s="2">
        <v>321904</v>
      </c>
      <c r="J198" t="s">
        <v>74</v>
      </c>
      <c r="K198" s="2"/>
    </row>
    <row r="199" spans="1:11" x14ac:dyDescent="0.3">
      <c r="A199" s="1">
        <v>45095</v>
      </c>
      <c r="B199" t="s">
        <v>12</v>
      </c>
      <c r="C199" t="s">
        <v>22</v>
      </c>
      <c r="D199" t="s">
        <v>40</v>
      </c>
      <c r="E199" t="s">
        <v>61</v>
      </c>
      <c r="F199" t="s">
        <v>69</v>
      </c>
      <c r="G199" s="2">
        <v>7</v>
      </c>
      <c r="H199" s="2">
        <v>29805</v>
      </c>
      <c r="I199" s="2">
        <v>208635</v>
      </c>
      <c r="J199" t="s">
        <v>76</v>
      </c>
      <c r="K199" s="2"/>
    </row>
    <row r="200" spans="1:11" x14ac:dyDescent="0.3">
      <c r="A200" s="1">
        <v>45046</v>
      </c>
      <c r="B200" t="s">
        <v>11</v>
      </c>
      <c r="C200" t="s">
        <v>29</v>
      </c>
      <c r="D200" t="s">
        <v>50</v>
      </c>
      <c r="E200" t="s">
        <v>55</v>
      </c>
      <c r="F200" t="s">
        <v>70</v>
      </c>
      <c r="G200" s="2">
        <v>9</v>
      </c>
      <c r="H200" s="2">
        <v>19864</v>
      </c>
      <c r="I200" s="2">
        <v>178776</v>
      </c>
      <c r="J200" t="s">
        <v>74</v>
      </c>
      <c r="K200" s="2"/>
    </row>
    <row r="201" spans="1:11" x14ac:dyDescent="0.3">
      <c r="A201" s="1">
        <v>45021</v>
      </c>
      <c r="B201" t="s">
        <v>10</v>
      </c>
      <c r="C201" t="s">
        <v>27</v>
      </c>
      <c r="D201" t="s">
        <v>49</v>
      </c>
      <c r="E201" t="s">
        <v>66</v>
      </c>
      <c r="F201" t="s">
        <v>70</v>
      </c>
      <c r="G201" s="2">
        <v>4</v>
      </c>
      <c r="H201" s="2">
        <v>12420</v>
      </c>
      <c r="I201" s="2">
        <v>49680</v>
      </c>
      <c r="J201" t="s">
        <v>77</v>
      </c>
      <c r="K201" s="2"/>
    </row>
    <row r="202" spans="1:11" x14ac:dyDescent="0.3">
      <c r="A202" s="1">
        <v>45277</v>
      </c>
      <c r="B202" t="s">
        <v>11</v>
      </c>
      <c r="C202" t="s">
        <v>29</v>
      </c>
      <c r="D202" t="s">
        <v>50</v>
      </c>
      <c r="E202" t="s">
        <v>57</v>
      </c>
      <c r="F202" t="s">
        <v>71</v>
      </c>
      <c r="G202" s="2">
        <v>8</v>
      </c>
      <c r="H202" s="2">
        <v>32218</v>
      </c>
      <c r="I202" s="2">
        <v>257744</v>
      </c>
      <c r="J202" t="s">
        <v>75</v>
      </c>
      <c r="K202" s="2"/>
    </row>
    <row r="203" spans="1:11" x14ac:dyDescent="0.3">
      <c r="A203" s="1">
        <v>45079</v>
      </c>
      <c r="B203" t="s">
        <v>13</v>
      </c>
      <c r="C203" t="s">
        <v>20</v>
      </c>
      <c r="D203" t="s">
        <v>36</v>
      </c>
      <c r="E203" t="s">
        <v>60</v>
      </c>
      <c r="F203" t="s">
        <v>71</v>
      </c>
      <c r="G203" s="2">
        <v>2</v>
      </c>
      <c r="H203" s="2">
        <v>52067</v>
      </c>
      <c r="I203" s="2">
        <v>104134</v>
      </c>
      <c r="J203" t="s">
        <v>78</v>
      </c>
      <c r="K203" s="2"/>
    </row>
    <row r="204" spans="1:11" x14ac:dyDescent="0.3">
      <c r="A204" s="1">
        <v>45101</v>
      </c>
      <c r="B204" t="s">
        <v>10</v>
      </c>
      <c r="C204" t="s">
        <v>26</v>
      </c>
      <c r="D204" t="s">
        <v>26</v>
      </c>
      <c r="E204" t="s">
        <v>58</v>
      </c>
      <c r="F204" t="s">
        <v>72</v>
      </c>
      <c r="G204" s="2">
        <v>3</v>
      </c>
      <c r="H204" s="2">
        <v>24048</v>
      </c>
      <c r="I204" s="2">
        <v>72144</v>
      </c>
      <c r="J204" t="s">
        <v>73</v>
      </c>
      <c r="K204" s="2"/>
    </row>
    <row r="205" spans="1:11" x14ac:dyDescent="0.3">
      <c r="A205" s="1">
        <v>45016</v>
      </c>
      <c r="B205" t="s">
        <v>12</v>
      </c>
      <c r="C205" t="s">
        <v>23</v>
      </c>
      <c r="D205" t="s">
        <v>42</v>
      </c>
      <c r="E205" t="s">
        <v>65</v>
      </c>
      <c r="F205" t="s">
        <v>72</v>
      </c>
      <c r="G205" s="2">
        <v>6</v>
      </c>
      <c r="H205" s="2">
        <v>40659</v>
      </c>
      <c r="I205" s="2">
        <v>243954</v>
      </c>
      <c r="J205" t="s">
        <v>77</v>
      </c>
      <c r="K205" s="2"/>
    </row>
    <row r="206" spans="1:11" x14ac:dyDescent="0.3">
      <c r="A206" s="1">
        <v>45116</v>
      </c>
      <c r="B206" t="s">
        <v>11</v>
      </c>
      <c r="C206" t="s">
        <v>29</v>
      </c>
      <c r="D206" t="s">
        <v>50</v>
      </c>
      <c r="E206" t="s">
        <v>64</v>
      </c>
      <c r="F206" t="s">
        <v>69</v>
      </c>
      <c r="G206" s="2">
        <v>3</v>
      </c>
      <c r="H206" s="2">
        <v>48421</v>
      </c>
      <c r="I206" s="2">
        <v>145263</v>
      </c>
      <c r="J206" t="s">
        <v>73</v>
      </c>
      <c r="K206" s="2"/>
    </row>
    <row r="207" spans="1:11" x14ac:dyDescent="0.3">
      <c r="A207" s="1">
        <v>45122</v>
      </c>
      <c r="B207" t="s">
        <v>13</v>
      </c>
      <c r="C207" t="s">
        <v>20</v>
      </c>
      <c r="D207" t="s">
        <v>36</v>
      </c>
      <c r="E207" t="s">
        <v>54</v>
      </c>
      <c r="F207" t="s">
        <v>69</v>
      </c>
      <c r="G207" s="2">
        <v>4</v>
      </c>
      <c r="H207" s="2">
        <v>16216</v>
      </c>
      <c r="I207" s="2">
        <v>64864</v>
      </c>
      <c r="J207" t="s">
        <v>75</v>
      </c>
      <c r="K207" s="2"/>
    </row>
    <row r="208" spans="1:11" x14ac:dyDescent="0.3">
      <c r="A208" s="1">
        <v>45179</v>
      </c>
      <c r="B208" t="s">
        <v>11</v>
      </c>
      <c r="C208" t="s">
        <v>24</v>
      </c>
      <c r="D208" t="s">
        <v>44</v>
      </c>
      <c r="E208" t="s">
        <v>65</v>
      </c>
      <c r="F208" t="s">
        <v>72</v>
      </c>
      <c r="G208" s="2">
        <v>1</v>
      </c>
      <c r="H208" s="2">
        <v>14312</v>
      </c>
      <c r="I208" s="2">
        <v>14312</v>
      </c>
      <c r="J208" t="s">
        <v>77</v>
      </c>
      <c r="K208" s="2"/>
    </row>
    <row r="209" spans="1:11" x14ac:dyDescent="0.3">
      <c r="A209" s="1">
        <v>45209</v>
      </c>
      <c r="B209" t="s">
        <v>12</v>
      </c>
      <c r="C209" t="s">
        <v>22</v>
      </c>
      <c r="D209" t="s">
        <v>40</v>
      </c>
      <c r="E209" t="s">
        <v>65</v>
      </c>
      <c r="F209" t="s">
        <v>72</v>
      </c>
      <c r="G209" s="2">
        <v>10</v>
      </c>
      <c r="H209" s="2">
        <v>25646</v>
      </c>
      <c r="I209" s="2">
        <v>256460</v>
      </c>
      <c r="J209" t="s">
        <v>79</v>
      </c>
      <c r="K209" s="2"/>
    </row>
    <row r="210" spans="1:11" x14ac:dyDescent="0.3">
      <c r="A210" s="1">
        <v>44989</v>
      </c>
      <c r="B210" t="s">
        <v>13</v>
      </c>
      <c r="C210" t="s">
        <v>25</v>
      </c>
      <c r="D210" t="s">
        <v>45</v>
      </c>
      <c r="E210" t="s">
        <v>61</v>
      </c>
      <c r="F210" t="s">
        <v>69</v>
      </c>
      <c r="G210" s="2">
        <v>1</v>
      </c>
      <c r="H210" s="2">
        <v>26323</v>
      </c>
      <c r="I210" s="2">
        <v>26323</v>
      </c>
      <c r="J210" t="s">
        <v>75</v>
      </c>
      <c r="K210" s="2"/>
    </row>
    <row r="211" spans="1:11" x14ac:dyDescent="0.3">
      <c r="A211" s="1">
        <v>45008</v>
      </c>
      <c r="B211" t="s">
        <v>12</v>
      </c>
      <c r="C211" t="s">
        <v>23</v>
      </c>
      <c r="D211" t="s">
        <v>42</v>
      </c>
      <c r="E211" t="s">
        <v>55</v>
      </c>
      <c r="F211" t="s">
        <v>70</v>
      </c>
      <c r="G211" s="2">
        <v>5</v>
      </c>
      <c r="H211" s="2">
        <v>13146</v>
      </c>
      <c r="I211" s="2">
        <v>65730</v>
      </c>
      <c r="J211" t="s">
        <v>76</v>
      </c>
      <c r="K211" s="2"/>
    </row>
    <row r="212" spans="1:11" x14ac:dyDescent="0.3">
      <c r="A212" s="1">
        <v>45052</v>
      </c>
      <c r="B212" t="s">
        <v>13</v>
      </c>
      <c r="C212" t="s">
        <v>25</v>
      </c>
      <c r="D212" t="s">
        <v>46</v>
      </c>
      <c r="E212" t="s">
        <v>65</v>
      </c>
      <c r="F212" t="s">
        <v>72</v>
      </c>
      <c r="G212" s="2">
        <v>7</v>
      </c>
      <c r="H212" s="2">
        <v>4346</v>
      </c>
      <c r="I212" s="2">
        <v>30422</v>
      </c>
      <c r="J212" t="s">
        <v>80</v>
      </c>
      <c r="K212" s="2"/>
    </row>
    <row r="213" spans="1:11" x14ac:dyDescent="0.3">
      <c r="A213" s="1">
        <v>44975</v>
      </c>
      <c r="B213" t="s">
        <v>11</v>
      </c>
      <c r="C213" t="s">
        <v>24</v>
      </c>
      <c r="D213" t="s">
        <v>44</v>
      </c>
      <c r="E213" t="s">
        <v>60</v>
      </c>
      <c r="F213" t="s">
        <v>71</v>
      </c>
      <c r="G213" s="2">
        <v>3</v>
      </c>
      <c r="H213" s="2">
        <v>8788</v>
      </c>
      <c r="I213" s="2">
        <v>26364</v>
      </c>
      <c r="J213" t="s">
        <v>77</v>
      </c>
      <c r="K213" s="2"/>
    </row>
    <row r="214" spans="1:11" x14ac:dyDescent="0.3">
      <c r="A214" s="1">
        <v>45217</v>
      </c>
      <c r="B214" t="s">
        <v>10</v>
      </c>
      <c r="C214" t="s">
        <v>26</v>
      </c>
      <c r="D214" t="s">
        <v>26</v>
      </c>
      <c r="E214" t="s">
        <v>67</v>
      </c>
      <c r="F214" t="s">
        <v>72</v>
      </c>
      <c r="G214" s="2">
        <v>3</v>
      </c>
      <c r="H214" s="2">
        <v>39634</v>
      </c>
      <c r="I214" s="2">
        <v>118902</v>
      </c>
      <c r="J214" t="s">
        <v>77</v>
      </c>
      <c r="K214" s="2"/>
    </row>
    <row r="215" spans="1:11" x14ac:dyDescent="0.3">
      <c r="A215" s="1">
        <v>44947</v>
      </c>
      <c r="B215" t="s">
        <v>11</v>
      </c>
      <c r="C215" t="s">
        <v>24</v>
      </c>
      <c r="D215" t="s">
        <v>44</v>
      </c>
      <c r="E215" t="s">
        <v>60</v>
      </c>
      <c r="F215" t="s">
        <v>71</v>
      </c>
      <c r="G215" s="2">
        <v>10</v>
      </c>
      <c r="H215" s="2">
        <v>20176</v>
      </c>
      <c r="I215" s="2">
        <v>201760</v>
      </c>
      <c r="J215" t="s">
        <v>80</v>
      </c>
      <c r="K215" s="2"/>
    </row>
    <row r="216" spans="1:11" x14ac:dyDescent="0.3">
      <c r="A216" s="1">
        <v>45154</v>
      </c>
      <c r="B216" t="s">
        <v>10</v>
      </c>
      <c r="C216" t="s">
        <v>15</v>
      </c>
      <c r="D216" t="s">
        <v>39</v>
      </c>
      <c r="E216" t="s">
        <v>62</v>
      </c>
      <c r="F216" t="s">
        <v>71</v>
      </c>
      <c r="G216" s="2">
        <v>6</v>
      </c>
      <c r="H216" s="2">
        <v>47890</v>
      </c>
      <c r="I216" s="2">
        <v>287340</v>
      </c>
      <c r="J216" t="s">
        <v>75</v>
      </c>
      <c r="K216" s="2"/>
    </row>
    <row r="217" spans="1:11" x14ac:dyDescent="0.3">
      <c r="A217" s="1">
        <v>45134</v>
      </c>
      <c r="B217" t="s">
        <v>12</v>
      </c>
      <c r="C217" t="s">
        <v>21</v>
      </c>
      <c r="D217" t="s">
        <v>38</v>
      </c>
      <c r="E217" t="s">
        <v>57</v>
      </c>
      <c r="F217" t="s">
        <v>71</v>
      </c>
      <c r="G217" s="2">
        <v>9</v>
      </c>
      <c r="H217" s="2">
        <v>25286</v>
      </c>
      <c r="I217" s="2">
        <v>227574</v>
      </c>
      <c r="J217" t="s">
        <v>73</v>
      </c>
      <c r="K217" s="2"/>
    </row>
    <row r="218" spans="1:11" x14ac:dyDescent="0.3">
      <c r="A218" s="1">
        <v>45215</v>
      </c>
      <c r="B218" t="s">
        <v>13</v>
      </c>
      <c r="C218" t="s">
        <v>25</v>
      </c>
      <c r="D218" t="s">
        <v>45</v>
      </c>
      <c r="E218" t="s">
        <v>54</v>
      </c>
      <c r="F218" t="s">
        <v>69</v>
      </c>
      <c r="G218" s="2">
        <v>5</v>
      </c>
      <c r="H218" s="2">
        <v>32312</v>
      </c>
      <c r="I218" s="2">
        <v>161560</v>
      </c>
      <c r="J218" t="s">
        <v>78</v>
      </c>
      <c r="K218" s="2"/>
    </row>
    <row r="219" spans="1:11" x14ac:dyDescent="0.3">
      <c r="A219" s="1">
        <v>45115</v>
      </c>
      <c r="B219" t="s">
        <v>12</v>
      </c>
      <c r="C219" t="s">
        <v>22</v>
      </c>
      <c r="D219" t="s">
        <v>40</v>
      </c>
      <c r="E219" t="s">
        <v>55</v>
      </c>
      <c r="F219" t="s">
        <v>70</v>
      </c>
      <c r="G219" s="2">
        <v>2</v>
      </c>
      <c r="H219" s="2">
        <v>57951</v>
      </c>
      <c r="I219" s="2">
        <v>115902</v>
      </c>
      <c r="J219" t="s">
        <v>79</v>
      </c>
      <c r="K219" s="2"/>
    </row>
    <row r="220" spans="1:11" x14ac:dyDescent="0.3">
      <c r="A220" s="1">
        <v>45035</v>
      </c>
      <c r="B220" t="s">
        <v>10</v>
      </c>
      <c r="C220" t="s">
        <v>26</v>
      </c>
      <c r="D220" t="s">
        <v>26</v>
      </c>
      <c r="E220" t="s">
        <v>62</v>
      </c>
      <c r="F220" t="s">
        <v>71</v>
      </c>
      <c r="G220" s="2">
        <v>2</v>
      </c>
      <c r="H220" s="2">
        <v>33063</v>
      </c>
      <c r="I220" s="2">
        <v>66126</v>
      </c>
      <c r="J220" t="s">
        <v>73</v>
      </c>
      <c r="K220" s="2"/>
    </row>
    <row r="221" spans="1:11" x14ac:dyDescent="0.3">
      <c r="A221" s="1">
        <v>45009</v>
      </c>
      <c r="B221" t="s">
        <v>13</v>
      </c>
      <c r="C221" t="s">
        <v>20</v>
      </c>
      <c r="D221" t="s">
        <v>36</v>
      </c>
      <c r="E221" t="s">
        <v>65</v>
      </c>
      <c r="F221" t="s">
        <v>72</v>
      </c>
      <c r="G221" s="2">
        <v>5</v>
      </c>
      <c r="H221" s="2">
        <v>50304</v>
      </c>
      <c r="I221" s="2">
        <v>251520</v>
      </c>
      <c r="J221" t="s">
        <v>78</v>
      </c>
      <c r="K221" s="2"/>
    </row>
    <row r="222" spans="1:11" x14ac:dyDescent="0.3">
      <c r="A222" s="1">
        <v>45050</v>
      </c>
      <c r="B222" t="s">
        <v>11</v>
      </c>
      <c r="C222" t="s">
        <v>24</v>
      </c>
      <c r="D222" t="s">
        <v>44</v>
      </c>
      <c r="E222" t="s">
        <v>60</v>
      </c>
      <c r="F222" t="s">
        <v>71</v>
      </c>
      <c r="G222" s="2">
        <v>1</v>
      </c>
      <c r="H222" s="2">
        <v>50440</v>
      </c>
      <c r="I222" s="2">
        <v>50440</v>
      </c>
      <c r="J222" t="s">
        <v>79</v>
      </c>
      <c r="K222" s="2"/>
    </row>
    <row r="223" spans="1:11" x14ac:dyDescent="0.3">
      <c r="A223" s="1">
        <v>45106</v>
      </c>
      <c r="B223" t="s">
        <v>11</v>
      </c>
      <c r="C223" t="s">
        <v>17</v>
      </c>
      <c r="D223" t="s">
        <v>33</v>
      </c>
      <c r="E223" t="s">
        <v>65</v>
      </c>
      <c r="F223" t="s">
        <v>72</v>
      </c>
      <c r="G223" s="2">
        <v>8</v>
      </c>
      <c r="H223" s="2">
        <v>4582</v>
      </c>
      <c r="I223" s="2">
        <v>36656</v>
      </c>
      <c r="J223" t="s">
        <v>78</v>
      </c>
      <c r="K223" s="2"/>
    </row>
    <row r="224" spans="1:11" x14ac:dyDescent="0.3">
      <c r="A224" s="1">
        <v>45247</v>
      </c>
      <c r="B224" t="s">
        <v>11</v>
      </c>
      <c r="C224" t="s">
        <v>16</v>
      </c>
      <c r="D224" t="s">
        <v>32</v>
      </c>
      <c r="E224" t="s">
        <v>68</v>
      </c>
      <c r="F224" t="s">
        <v>69</v>
      </c>
      <c r="G224" s="2">
        <v>5</v>
      </c>
      <c r="H224" s="2">
        <v>15203</v>
      </c>
      <c r="I224" s="2">
        <v>76015</v>
      </c>
      <c r="J224" t="s">
        <v>78</v>
      </c>
      <c r="K224" s="2"/>
    </row>
    <row r="225" spans="1:11" x14ac:dyDescent="0.3">
      <c r="A225" s="1">
        <v>44999</v>
      </c>
      <c r="B225" t="s">
        <v>11</v>
      </c>
      <c r="C225" t="s">
        <v>29</v>
      </c>
      <c r="D225" t="s">
        <v>50</v>
      </c>
      <c r="E225" t="s">
        <v>66</v>
      </c>
      <c r="F225" t="s">
        <v>70</v>
      </c>
      <c r="G225" s="2">
        <v>6</v>
      </c>
      <c r="H225" s="2">
        <v>13458</v>
      </c>
      <c r="I225" s="2">
        <v>80748</v>
      </c>
      <c r="J225" t="s">
        <v>76</v>
      </c>
      <c r="K225" s="2"/>
    </row>
    <row r="226" spans="1:11" x14ac:dyDescent="0.3">
      <c r="A226" s="1">
        <v>45114</v>
      </c>
      <c r="B226" t="s">
        <v>10</v>
      </c>
      <c r="C226" t="s">
        <v>26</v>
      </c>
      <c r="D226" t="s">
        <v>26</v>
      </c>
      <c r="E226" t="s">
        <v>55</v>
      </c>
      <c r="F226" t="s">
        <v>70</v>
      </c>
      <c r="G226" s="2">
        <v>9</v>
      </c>
      <c r="H226" s="2">
        <v>56951</v>
      </c>
      <c r="I226" s="2">
        <v>512559</v>
      </c>
      <c r="J226" t="s">
        <v>75</v>
      </c>
      <c r="K226" s="2"/>
    </row>
    <row r="227" spans="1:11" x14ac:dyDescent="0.3">
      <c r="A227" s="1">
        <v>44972</v>
      </c>
      <c r="B227" t="s">
        <v>10</v>
      </c>
      <c r="C227" t="s">
        <v>15</v>
      </c>
      <c r="D227" t="s">
        <v>31</v>
      </c>
      <c r="E227" t="s">
        <v>66</v>
      </c>
      <c r="F227" t="s">
        <v>70</v>
      </c>
      <c r="G227" s="2">
        <v>10</v>
      </c>
      <c r="H227" s="2">
        <v>57408</v>
      </c>
      <c r="I227" s="2">
        <v>574080</v>
      </c>
      <c r="J227" t="s">
        <v>74</v>
      </c>
      <c r="K227" s="2"/>
    </row>
    <row r="228" spans="1:11" x14ac:dyDescent="0.3">
      <c r="A228" s="1">
        <v>45057</v>
      </c>
      <c r="B228" t="s">
        <v>13</v>
      </c>
      <c r="C228" t="s">
        <v>25</v>
      </c>
      <c r="D228" t="s">
        <v>45</v>
      </c>
      <c r="E228" t="s">
        <v>56</v>
      </c>
      <c r="F228" t="s">
        <v>70</v>
      </c>
      <c r="G228" s="2">
        <v>10</v>
      </c>
      <c r="H228" s="2">
        <v>16281</v>
      </c>
      <c r="I228" s="2">
        <v>162810</v>
      </c>
      <c r="J228" t="s">
        <v>73</v>
      </c>
      <c r="K228" s="2"/>
    </row>
    <row r="229" spans="1:11" x14ac:dyDescent="0.3">
      <c r="A229" s="1">
        <v>45116</v>
      </c>
      <c r="B229" t="s">
        <v>10</v>
      </c>
      <c r="C229" t="s">
        <v>15</v>
      </c>
      <c r="D229" t="s">
        <v>31</v>
      </c>
      <c r="E229" t="s">
        <v>61</v>
      </c>
      <c r="F229" t="s">
        <v>69</v>
      </c>
      <c r="G229" s="2">
        <v>9</v>
      </c>
      <c r="H229" s="2">
        <v>10457</v>
      </c>
      <c r="I229" s="2">
        <v>94113</v>
      </c>
      <c r="J229" t="s">
        <v>79</v>
      </c>
      <c r="K229" s="2"/>
    </row>
    <row r="230" spans="1:11" x14ac:dyDescent="0.3">
      <c r="A230" s="1">
        <v>45080</v>
      </c>
      <c r="B230" t="s">
        <v>11</v>
      </c>
      <c r="C230" t="s">
        <v>16</v>
      </c>
      <c r="D230" t="s">
        <v>32</v>
      </c>
      <c r="E230" t="s">
        <v>60</v>
      </c>
      <c r="F230" t="s">
        <v>71</v>
      </c>
      <c r="G230" s="2">
        <v>1</v>
      </c>
      <c r="H230" s="2">
        <v>15053</v>
      </c>
      <c r="I230" s="2">
        <v>15053</v>
      </c>
      <c r="J230" t="s">
        <v>73</v>
      </c>
      <c r="K230" s="2"/>
    </row>
    <row r="231" spans="1:11" x14ac:dyDescent="0.3">
      <c r="A231" s="1">
        <v>44943</v>
      </c>
      <c r="B231" t="s">
        <v>10</v>
      </c>
      <c r="C231" t="s">
        <v>14</v>
      </c>
      <c r="D231" t="s">
        <v>52</v>
      </c>
      <c r="E231" t="s">
        <v>58</v>
      </c>
      <c r="F231" t="s">
        <v>72</v>
      </c>
      <c r="G231" s="2">
        <v>1</v>
      </c>
      <c r="H231" s="2">
        <v>8411</v>
      </c>
      <c r="I231" s="2">
        <v>8411</v>
      </c>
      <c r="J231" t="s">
        <v>78</v>
      </c>
      <c r="K231" s="2"/>
    </row>
    <row r="232" spans="1:11" x14ac:dyDescent="0.3">
      <c r="A232" s="1">
        <v>45171</v>
      </c>
      <c r="B232" t="s">
        <v>11</v>
      </c>
      <c r="C232" t="s">
        <v>16</v>
      </c>
      <c r="D232" t="s">
        <v>32</v>
      </c>
      <c r="E232" t="s">
        <v>64</v>
      </c>
      <c r="F232" t="s">
        <v>69</v>
      </c>
      <c r="G232" s="2">
        <v>9</v>
      </c>
      <c r="H232" s="2">
        <v>53757</v>
      </c>
      <c r="I232" s="2">
        <v>483813</v>
      </c>
      <c r="J232" t="s">
        <v>80</v>
      </c>
      <c r="K232" s="2"/>
    </row>
    <row r="233" spans="1:11" x14ac:dyDescent="0.3">
      <c r="A233" s="1">
        <v>45289</v>
      </c>
      <c r="B233" t="s">
        <v>10</v>
      </c>
      <c r="C233" t="s">
        <v>14</v>
      </c>
      <c r="D233" t="s">
        <v>52</v>
      </c>
      <c r="E233" t="s">
        <v>62</v>
      </c>
      <c r="F233" t="s">
        <v>71</v>
      </c>
      <c r="G233" s="2">
        <v>8</v>
      </c>
      <c r="H233" s="2">
        <v>1071</v>
      </c>
      <c r="I233" s="2">
        <v>8568</v>
      </c>
      <c r="J233" t="s">
        <v>76</v>
      </c>
      <c r="K233" s="2"/>
    </row>
    <row r="234" spans="1:11" x14ac:dyDescent="0.3">
      <c r="A234" s="1">
        <v>44995</v>
      </c>
      <c r="B234" t="s">
        <v>13</v>
      </c>
      <c r="C234" t="s">
        <v>25</v>
      </c>
      <c r="D234" t="s">
        <v>46</v>
      </c>
      <c r="E234" t="s">
        <v>55</v>
      </c>
      <c r="F234" t="s">
        <v>70</v>
      </c>
      <c r="G234" s="2">
        <v>6</v>
      </c>
      <c r="H234" s="2">
        <v>29093</v>
      </c>
      <c r="I234" s="2">
        <v>174558</v>
      </c>
      <c r="J234" t="s">
        <v>79</v>
      </c>
      <c r="K234" s="2"/>
    </row>
    <row r="235" spans="1:11" x14ac:dyDescent="0.3">
      <c r="A235" s="1">
        <v>45211</v>
      </c>
      <c r="B235" t="s">
        <v>11</v>
      </c>
      <c r="C235" t="s">
        <v>29</v>
      </c>
      <c r="D235" t="s">
        <v>50</v>
      </c>
      <c r="E235" t="s">
        <v>58</v>
      </c>
      <c r="F235" t="s">
        <v>72</v>
      </c>
      <c r="G235" s="2">
        <v>5</v>
      </c>
      <c r="H235" s="2">
        <v>26188</v>
      </c>
      <c r="I235" s="2">
        <v>130940</v>
      </c>
      <c r="J235" t="s">
        <v>75</v>
      </c>
      <c r="K235" s="2"/>
    </row>
    <row r="236" spans="1:11" x14ac:dyDescent="0.3">
      <c r="A236" s="1">
        <v>45085</v>
      </c>
      <c r="B236" t="s">
        <v>12</v>
      </c>
      <c r="C236" t="s">
        <v>23</v>
      </c>
      <c r="D236" t="s">
        <v>53</v>
      </c>
      <c r="E236" t="s">
        <v>65</v>
      </c>
      <c r="F236" t="s">
        <v>72</v>
      </c>
      <c r="G236" s="2">
        <v>5</v>
      </c>
      <c r="H236" s="2">
        <v>42295</v>
      </c>
      <c r="I236" s="2">
        <v>211475</v>
      </c>
      <c r="J236" t="s">
        <v>76</v>
      </c>
      <c r="K236" s="2"/>
    </row>
    <row r="237" spans="1:11" x14ac:dyDescent="0.3">
      <c r="A237" s="1">
        <v>45201</v>
      </c>
      <c r="B237" t="s">
        <v>13</v>
      </c>
      <c r="C237" t="s">
        <v>25</v>
      </c>
      <c r="D237" t="s">
        <v>45</v>
      </c>
      <c r="E237" t="s">
        <v>66</v>
      </c>
      <c r="F237" t="s">
        <v>70</v>
      </c>
      <c r="G237" s="2">
        <v>6</v>
      </c>
      <c r="H237" s="2">
        <v>52071</v>
      </c>
      <c r="I237" s="2">
        <v>312426</v>
      </c>
      <c r="J237" t="s">
        <v>80</v>
      </c>
      <c r="K237" s="2"/>
    </row>
    <row r="238" spans="1:11" x14ac:dyDescent="0.3">
      <c r="A238" s="1">
        <v>45261</v>
      </c>
      <c r="B238" t="s">
        <v>13</v>
      </c>
      <c r="C238" t="s">
        <v>20</v>
      </c>
      <c r="D238" t="s">
        <v>36</v>
      </c>
      <c r="E238" t="s">
        <v>64</v>
      </c>
      <c r="F238" t="s">
        <v>69</v>
      </c>
      <c r="G238" s="2">
        <v>2</v>
      </c>
      <c r="H238" s="2">
        <v>23581</v>
      </c>
      <c r="I238" s="2">
        <v>47162</v>
      </c>
      <c r="J238" t="s">
        <v>78</v>
      </c>
      <c r="K238" s="2"/>
    </row>
    <row r="239" spans="1:11" x14ac:dyDescent="0.3">
      <c r="A239" s="1">
        <v>45187</v>
      </c>
      <c r="B239" t="s">
        <v>10</v>
      </c>
      <c r="C239" t="s">
        <v>15</v>
      </c>
      <c r="D239" t="s">
        <v>39</v>
      </c>
      <c r="E239" t="s">
        <v>56</v>
      </c>
      <c r="F239" t="s">
        <v>70</v>
      </c>
      <c r="G239" s="2">
        <v>7</v>
      </c>
      <c r="H239" s="2">
        <v>25084</v>
      </c>
      <c r="I239" s="2">
        <v>175588</v>
      </c>
      <c r="J239" t="s">
        <v>79</v>
      </c>
      <c r="K239" s="2"/>
    </row>
    <row r="240" spans="1:11" x14ac:dyDescent="0.3">
      <c r="A240" s="1">
        <v>45225</v>
      </c>
      <c r="B240" t="s">
        <v>10</v>
      </c>
      <c r="C240" t="s">
        <v>27</v>
      </c>
      <c r="D240" t="s">
        <v>47</v>
      </c>
      <c r="E240" t="s">
        <v>68</v>
      </c>
      <c r="F240" t="s">
        <v>69</v>
      </c>
      <c r="G240" s="2">
        <v>2</v>
      </c>
      <c r="H240" s="2">
        <v>51450</v>
      </c>
      <c r="I240" s="2">
        <v>102900</v>
      </c>
      <c r="J240" t="s">
        <v>73</v>
      </c>
      <c r="K240" s="2"/>
    </row>
    <row r="241" spans="1:11" x14ac:dyDescent="0.3">
      <c r="A241" s="1">
        <v>45125</v>
      </c>
      <c r="B241" t="s">
        <v>12</v>
      </c>
      <c r="C241" t="s">
        <v>22</v>
      </c>
      <c r="D241" t="s">
        <v>40</v>
      </c>
      <c r="E241" t="s">
        <v>54</v>
      </c>
      <c r="F241" t="s">
        <v>69</v>
      </c>
      <c r="G241" s="2">
        <v>2</v>
      </c>
      <c r="H241" s="2">
        <v>59006</v>
      </c>
      <c r="I241" s="2">
        <v>118012</v>
      </c>
      <c r="J241" t="s">
        <v>78</v>
      </c>
      <c r="K241" s="2"/>
    </row>
    <row r="242" spans="1:11" x14ac:dyDescent="0.3">
      <c r="A242" s="1">
        <v>44976</v>
      </c>
      <c r="B242" t="s">
        <v>11</v>
      </c>
      <c r="C242" t="s">
        <v>17</v>
      </c>
      <c r="D242" t="s">
        <v>33</v>
      </c>
      <c r="E242" t="s">
        <v>62</v>
      </c>
      <c r="F242" t="s">
        <v>71</v>
      </c>
      <c r="G242" s="2">
        <v>1</v>
      </c>
      <c r="H242" s="2">
        <v>18502</v>
      </c>
      <c r="I242" s="2">
        <v>18502</v>
      </c>
      <c r="J242" t="s">
        <v>78</v>
      </c>
      <c r="K242" s="2"/>
    </row>
    <row r="243" spans="1:11" x14ac:dyDescent="0.3">
      <c r="A243" s="1">
        <v>45155</v>
      </c>
      <c r="B243" t="s">
        <v>12</v>
      </c>
      <c r="C243" t="s">
        <v>21</v>
      </c>
      <c r="D243" t="s">
        <v>38</v>
      </c>
      <c r="E243" t="s">
        <v>64</v>
      </c>
      <c r="F243" t="s">
        <v>69</v>
      </c>
      <c r="G243" s="2">
        <v>1</v>
      </c>
      <c r="H243" s="2">
        <v>13909</v>
      </c>
      <c r="I243" s="2">
        <v>13909</v>
      </c>
      <c r="J243" t="s">
        <v>74</v>
      </c>
      <c r="K243" s="2"/>
    </row>
    <row r="244" spans="1:11" x14ac:dyDescent="0.3">
      <c r="A244" s="1">
        <v>45157</v>
      </c>
      <c r="B244" t="s">
        <v>12</v>
      </c>
      <c r="C244" t="s">
        <v>22</v>
      </c>
      <c r="D244" t="s">
        <v>40</v>
      </c>
      <c r="E244" t="s">
        <v>66</v>
      </c>
      <c r="F244" t="s">
        <v>70</v>
      </c>
      <c r="G244" s="2">
        <v>10</v>
      </c>
      <c r="H244" s="2">
        <v>11246</v>
      </c>
      <c r="I244" s="2">
        <v>112460</v>
      </c>
      <c r="J244" t="s">
        <v>73</v>
      </c>
      <c r="K244" s="2"/>
    </row>
    <row r="245" spans="1:11" x14ac:dyDescent="0.3">
      <c r="A245" s="1">
        <v>45269</v>
      </c>
      <c r="B245" t="s">
        <v>12</v>
      </c>
      <c r="C245" t="s">
        <v>22</v>
      </c>
      <c r="D245" t="s">
        <v>40</v>
      </c>
      <c r="E245" t="s">
        <v>54</v>
      </c>
      <c r="F245" t="s">
        <v>69</v>
      </c>
      <c r="G245" s="2">
        <v>2</v>
      </c>
      <c r="H245" s="2">
        <v>33427</v>
      </c>
      <c r="I245" s="2">
        <v>66854</v>
      </c>
      <c r="J245" t="s">
        <v>79</v>
      </c>
      <c r="K245" s="2"/>
    </row>
    <row r="246" spans="1:11" x14ac:dyDescent="0.3">
      <c r="A246" s="1">
        <v>45235</v>
      </c>
      <c r="B246" t="s">
        <v>10</v>
      </c>
      <c r="C246" t="s">
        <v>14</v>
      </c>
      <c r="D246" t="s">
        <v>30</v>
      </c>
      <c r="E246" t="s">
        <v>62</v>
      </c>
      <c r="F246" t="s">
        <v>71</v>
      </c>
      <c r="G246" s="2">
        <v>9</v>
      </c>
      <c r="H246" s="2">
        <v>11924</v>
      </c>
      <c r="I246" s="2">
        <v>107316</v>
      </c>
      <c r="J246" t="s">
        <v>79</v>
      </c>
      <c r="K246" s="2"/>
    </row>
    <row r="247" spans="1:11" x14ac:dyDescent="0.3">
      <c r="A247" s="1">
        <v>45209</v>
      </c>
      <c r="B247" t="s">
        <v>13</v>
      </c>
      <c r="C247" t="s">
        <v>25</v>
      </c>
      <c r="D247" t="s">
        <v>46</v>
      </c>
      <c r="E247" t="s">
        <v>59</v>
      </c>
      <c r="F247" t="s">
        <v>71</v>
      </c>
      <c r="G247" s="2">
        <v>7</v>
      </c>
      <c r="H247" s="2">
        <v>35609</v>
      </c>
      <c r="I247" s="2">
        <v>249263</v>
      </c>
      <c r="J247" t="s">
        <v>74</v>
      </c>
      <c r="K247" s="2"/>
    </row>
    <row r="248" spans="1:11" x14ac:dyDescent="0.3">
      <c r="A248" s="1">
        <v>44968</v>
      </c>
      <c r="B248" t="s">
        <v>13</v>
      </c>
      <c r="C248" t="s">
        <v>25</v>
      </c>
      <c r="D248" t="s">
        <v>46</v>
      </c>
      <c r="E248" t="s">
        <v>67</v>
      </c>
      <c r="F248" t="s">
        <v>72</v>
      </c>
      <c r="G248" s="2">
        <v>2</v>
      </c>
      <c r="H248" s="2">
        <v>48585</v>
      </c>
      <c r="I248" s="2">
        <v>97170</v>
      </c>
      <c r="J248" t="s">
        <v>78</v>
      </c>
      <c r="K248" s="2"/>
    </row>
    <row r="249" spans="1:11" x14ac:dyDescent="0.3">
      <c r="A249" s="1">
        <v>45142</v>
      </c>
      <c r="B249" t="s">
        <v>12</v>
      </c>
      <c r="C249" t="s">
        <v>21</v>
      </c>
      <c r="D249" t="s">
        <v>37</v>
      </c>
      <c r="E249" t="s">
        <v>64</v>
      </c>
      <c r="F249" t="s">
        <v>69</v>
      </c>
      <c r="G249" s="2">
        <v>3</v>
      </c>
      <c r="H249" s="2">
        <v>30725</v>
      </c>
      <c r="I249" s="2">
        <v>92175</v>
      </c>
      <c r="J249" t="s">
        <v>80</v>
      </c>
      <c r="K249" s="2"/>
    </row>
    <row r="250" spans="1:11" x14ac:dyDescent="0.3">
      <c r="A250" s="1">
        <v>45190</v>
      </c>
      <c r="B250" t="s">
        <v>11</v>
      </c>
      <c r="C250" t="s">
        <v>24</v>
      </c>
      <c r="D250" t="s">
        <v>44</v>
      </c>
      <c r="E250" t="s">
        <v>64</v>
      </c>
      <c r="F250" t="s">
        <v>69</v>
      </c>
      <c r="G250" s="2">
        <v>6</v>
      </c>
      <c r="H250" s="2">
        <v>55538</v>
      </c>
      <c r="I250" s="2">
        <v>333228</v>
      </c>
      <c r="J250" t="s">
        <v>77</v>
      </c>
      <c r="K250" s="2"/>
    </row>
    <row r="251" spans="1:11" x14ac:dyDescent="0.3">
      <c r="A251" s="1">
        <v>45064</v>
      </c>
      <c r="B251" t="s">
        <v>10</v>
      </c>
      <c r="C251" t="s">
        <v>14</v>
      </c>
      <c r="D251" t="s">
        <v>52</v>
      </c>
      <c r="E251" t="s">
        <v>65</v>
      </c>
      <c r="F251" t="s">
        <v>72</v>
      </c>
      <c r="G251" s="2">
        <v>8</v>
      </c>
      <c r="H251" s="2">
        <v>32475</v>
      </c>
      <c r="I251" s="2">
        <v>259800</v>
      </c>
      <c r="J251" t="s">
        <v>76</v>
      </c>
      <c r="K251" s="2"/>
    </row>
    <row r="252" spans="1:11" x14ac:dyDescent="0.3">
      <c r="A252" s="1">
        <v>44960</v>
      </c>
      <c r="B252" t="s">
        <v>10</v>
      </c>
      <c r="C252" t="s">
        <v>27</v>
      </c>
      <c r="D252" t="s">
        <v>47</v>
      </c>
      <c r="E252" t="s">
        <v>63</v>
      </c>
      <c r="F252" t="s">
        <v>72</v>
      </c>
      <c r="G252" s="2">
        <v>4</v>
      </c>
      <c r="H252" s="2">
        <v>30901</v>
      </c>
      <c r="I252" s="2">
        <v>123604</v>
      </c>
      <c r="J252" t="s">
        <v>77</v>
      </c>
      <c r="K252" s="2"/>
    </row>
    <row r="253" spans="1:11" x14ac:dyDescent="0.3">
      <c r="A253" s="1">
        <v>45016</v>
      </c>
      <c r="B253" t="s">
        <v>11</v>
      </c>
      <c r="C253" t="s">
        <v>29</v>
      </c>
      <c r="D253" t="s">
        <v>50</v>
      </c>
      <c r="E253" t="s">
        <v>66</v>
      </c>
      <c r="F253" t="s">
        <v>70</v>
      </c>
      <c r="G253" s="2">
        <v>2</v>
      </c>
      <c r="H253" s="2">
        <v>45909</v>
      </c>
      <c r="I253" s="2">
        <v>91818</v>
      </c>
      <c r="J253" t="s">
        <v>76</v>
      </c>
      <c r="K253" s="2"/>
    </row>
    <row r="254" spans="1:11" x14ac:dyDescent="0.3">
      <c r="A254" s="1">
        <v>45117</v>
      </c>
      <c r="B254" t="s">
        <v>11</v>
      </c>
      <c r="C254" t="s">
        <v>29</v>
      </c>
      <c r="D254" t="s">
        <v>50</v>
      </c>
      <c r="E254" t="s">
        <v>55</v>
      </c>
      <c r="F254" t="s">
        <v>70</v>
      </c>
      <c r="G254" s="2">
        <v>8</v>
      </c>
      <c r="H254" s="2">
        <v>38967</v>
      </c>
      <c r="I254" s="2">
        <v>311736</v>
      </c>
      <c r="J254" t="s">
        <v>79</v>
      </c>
      <c r="K254" s="2"/>
    </row>
    <row r="255" spans="1:11" x14ac:dyDescent="0.3">
      <c r="A255" s="1">
        <v>45225</v>
      </c>
      <c r="B255" t="s">
        <v>12</v>
      </c>
      <c r="C255" t="s">
        <v>18</v>
      </c>
      <c r="D255" t="s">
        <v>34</v>
      </c>
      <c r="E255" t="s">
        <v>68</v>
      </c>
      <c r="F255" t="s">
        <v>69</v>
      </c>
      <c r="G255" s="2">
        <v>9</v>
      </c>
      <c r="H255" s="2">
        <v>1825</v>
      </c>
      <c r="I255" s="2">
        <v>16425</v>
      </c>
      <c r="J255" t="s">
        <v>73</v>
      </c>
      <c r="K255" s="2"/>
    </row>
    <row r="256" spans="1:11" x14ac:dyDescent="0.3">
      <c r="A256" s="1">
        <v>45079</v>
      </c>
      <c r="B256" t="s">
        <v>12</v>
      </c>
      <c r="C256" t="s">
        <v>21</v>
      </c>
      <c r="D256" t="s">
        <v>37</v>
      </c>
      <c r="E256" t="s">
        <v>56</v>
      </c>
      <c r="F256" t="s">
        <v>70</v>
      </c>
      <c r="G256" s="2">
        <v>7</v>
      </c>
      <c r="H256" s="2">
        <v>12556</v>
      </c>
      <c r="I256" s="2">
        <v>87892</v>
      </c>
      <c r="J256" t="s">
        <v>80</v>
      </c>
      <c r="K256" s="2"/>
    </row>
    <row r="257" spans="1:11" x14ac:dyDescent="0.3">
      <c r="A257" s="1">
        <v>44962</v>
      </c>
      <c r="B257" t="s">
        <v>11</v>
      </c>
      <c r="C257" t="s">
        <v>17</v>
      </c>
      <c r="D257" t="s">
        <v>33</v>
      </c>
      <c r="E257" t="s">
        <v>68</v>
      </c>
      <c r="F257" t="s">
        <v>69</v>
      </c>
      <c r="G257" s="2">
        <v>6</v>
      </c>
      <c r="H257" s="2">
        <v>53455</v>
      </c>
      <c r="I257" s="2">
        <v>320730</v>
      </c>
      <c r="J257" t="s">
        <v>79</v>
      </c>
      <c r="K257" s="2"/>
    </row>
    <row r="258" spans="1:11" x14ac:dyDescent="0.3">
      <c r="A258" s="1">
        <v>45119</v>
      </c>
      <c r="B258" t="s">
        <v>11</v>
      </c>
      <c r="C258" t="s">
        <v>24</v>
      </c>
      <c r="D258" t="s">
        <v>44</v>
      </c>
      <c r="E258" t="s">
        <v>62</v>
      </c>
      <c r="F258" t="s">
        <v>71</v>
      </c>
      <c r="G258" s="2">
        <v>5</v>
      </c>
      <c r="H258" s="2">
        <v>39955</v>
      </c>
      <c r="I258" s="2">
        <v>199775</v>
      </c>
      <c r="J258" t="s">
        <v>79</v>
      </c>
      <c r="K258" s="2"/>
    </row>
    <row r="259" spans="1:11" x14ac:dyDescent="0.3">
      <c r="A259" s="1">
        <v>44970</v>
      </c>
      <c r="B259" t="s">
        <v>11</v>
      </c>
      <c r="C259" t="s">
        <v>16</v>
      </c>
      <c r="D259" t="s">
        <v>32</v>
      </c>
      <c r="E259" t="s">
        <v>67</v>
      </c>
      <c r="F259" t="s">
        <v>72</v>
      </c>
      <c r="G259" s="2">
        <v>4</v>
      </c>
      <c r="H259" s="2">
        <v>1411</v>
      </c>
      <c r="I259" s="2">
        <v>5644</v>
      </c>
      <c r="J259" t="s">
        <v>75</v>
      </c>
      <c r="K259" s="2"/>
    </row>
    <row r="260" spans="1:11" x14ac:dyDescent="0.3">
      <c r="A260" s="1">
        <v>44982</v>
      </c>
      <c r="B260" t="s">
        <v>13</v>
      </c>
      <c r="C260" t="s">
        <v>20</v>
      </c>
      <c r="D260" t="s">
        <v>36</v>
      </c>
      <c r="E260" t="s">
        <v>59</v>
      </c>
      <c r="F260" t="s">
        <v>71</v>
      </c>
      <c r="G260" s="2">
        <v>4</v>
      </c>
      <c r="H260" s="2">
        <v>35739</v>
      </c>
      <c r="I260" s="2">
        <v>142956</v>
      </c>
      <c r="J260" t="s">
        <v>77</v>
      </c>
      <c r="K260" s="2"/>
    </row>
    <row r="261" spans="1:11" x14ac:dyDescent="0.3">
      <c r="A261" s="1">
        <v>45287</v>
      </c>
      <c r="B261" t="s">
        <v>13</v>
      </c>
      <c r="C261" t="s">
        <v>25</v>
      </c>
      <c r="D261" t="s">
        <v>46</v>
      </c>
      <c r="E261" t="s">
        <v>58</v>
      </c>
      <c r="F261" t="s">
        <v>72</v>
      </c>
      <c r="G261" s="2">
        <v>3</v>
      </c>
      <c r="H261" s="2">
        <v>35514</v>
      </c>
      <c r="I261" s="2">
        <v>106542</v>
      </c>
      <c r="J261" t="s">
        <v>78</v>
      </c>
      <c r="K261" s="2"/>
    </row>
    <row r="262" spans="1:11" x14ac:dyDescent="0.3">
      <c r="A262" s="1">
        <v>45140</v>
      </c>
      <c r="B262" t="s">
        <v>13</v>
      </c>
      <c r="C262" t="s">
        <v>19</v>
      </c>
      <c r="D262" t="s">
        <v>41</v>
      </c>
      <c r="E262" t="s">
        <v>65</v>
      </c>
      <c r="F262" t="s">
        <v>72</v>
      </c>
      <c r="G262" s="2">
        <v>9</v>
      </c>
      <c r="H262" s="2">
        <v>16550</v>
      </c>
      <c r="I262" s="2">
        <v>148950</v>
      </c>
      <c r="J262" t="s">
        <v>79</v>
      </c>
      <c r="K262" s="2"/>
    </row>
    <row r="263" spans="1:11" x14ac:dyDescent="0.3">
      <c r="A263" s="1">
        <v>44999</v>
      </c>
      <c r="B263" t="s">
        <v>13</v>
      </c>
      <c r="C263" t="s">
        <v>25</v>
      </c>
      <c r="D263" t="s">
        <v>46</v>
      </c>
      <c r="E263" t="s">
        <v>65</v>
      </c>
      <c r="F263" t="s">
        <v>72</v>
      </c>
      <c r="G263" s="2">
        <v>4</v>
      </c>
      <c r="H263" s="2">
        <v>1105</v>
      </c>
      <c r="I263" s="2">
        <v>4420</v>
      </c>
      <c r="J263" t="s">
        <v>76</v>
      </c>
      <c r="K263" s="2"/>
    </row>
    <row r="264" spans="1:11" x14ac:dyDescent="0.3">
      <c r="A264" s="1">
        <v>44961</v>
      </c>
      <c r="B264" t="s">
        <v>12</v>
      </c>
      <c r="C264" t="s">
        <v>18</v>
      </c>
      <c r="D264" t="s">
        <v>43</v>
      </c>
      <c r="E264" t="s">
        <v>68</v>
      </c>
      <c r="F264" t="s">
        <v>69</v>
      </c>
      <c r="G264" s="2">
        <v>1</v>
      </c>
      <c r="H264" s="2">
        <v>3270</v>
      </c>
      <c r="I264" s="2">
        <v>3270</v>
      </c>
      <c r="J264" t="s">
        <v>79</v>
      </c>
      <c r="K264" s="2"/>
    </row>
    <row r="265" spans="1:11" x14ac:dyDescent="0.3">
      <c r="A265" s="1">
        <v>45134</v>
      </c>
      <c r="B265" t="s">
        <v>10</v>
      </c>
      <c r="C265" t="s">
        <v>27</v>
      </c>
      <c r="D265" t="s">
        <v>49</v>
      </c>
      <c r="E265" t="s">
        <v>65</v>
      </c>
      <c r="F265" t="s">
        <v>72</v>
      </c>
      <c r="G265" s="2">
        <v>1</v>
      </c>
      <c r="H265" s="2">
        <v>15781</v>
      </c>
      <c r="I265" s="2">
        <v>15781</v>
      </c>
      <c r="J265" t="s">
        <v>78</v>
      </c>
      <c r="K265" s="2"/>
    </row>
    <row r="266" spans="1:11" x14ac:dyDescent="0.3">
      <c r="A266" s="1">
        <v>45192</v>
      </c>
      <c r="B266" t="s">
        <v>11</v>
      </c>
      <c r="C266" t="s">
        <v>29</v>
      </c>
      <c r="D266" t="s">
        <v>50</v>
      </c>
      <c r="E266" t="s">
        <v>54</v>
      </c>
      <c r="F266" t="s">
        <v>69</v>
      </c>
      <c r="G266" s="2">
        <v>3</v>
      </c>
      <c r="H266" s="2">
        <v>20781</v>
      </c>
      <c r="I266" s="2">
        <v>62343</v>
      </c>
      <c r="J266" t="s">
        <v>73</v>
      </c>
      <c r="K266" s="2"/>
    </row>
    <row r="267" spans="1:11" x14ac:dyDescent="0.3">
      <c r="A267" s="1">
        <v>45136</v>
      </c>
      <c r="B267" t="s">
        <v>11</v>
      </c>
      <c r="C267" t="s">
        <v>17</v>
      </c>
      <c r="D267" t="s">
        <v>33</v>
      </c>
      <c r="E267" t="s">
        <v>62</v>
      </c>
      <c r="F267" t="s">
        <v>71</v>
      </c>
      <c r="G267" s="2">
        <v>2</v>
      </c>
      <c r="H267" s="2">
        <v>50425</v>
      </c>
      <c r="I267" s="2">
        <v>100850</v>
      </c>
      <c r="J267" t="s">
        <v>73</v>
      </c>
      <c r="K267" s="2"/>
    </row>
    <row r="268" spans="1:11" x14ac:dyDescent="0.3">
      <c r="A268" s="1">
        <v>45061</v>
      </c>
      <c r="B268" t="s">
        <v>13</v>
      </c>
      <c r="C268" t="s">
        <v>19</v>
      </c>
      <c r="D268" t="s">
        <v>41</v>
      </c>
      <c r="E268" t="s">
        <v>63</v>
      </c>
      <c r="F268" t="s">
        <v>72</v>
      </c>
      <c r="G268" s="2">
        <v>2</v>
      </c>
      <c r="H268" s="2">
        <v>31966</v>
      </c>
      <c r="I268" s="2">
        <v>63932</v>
      </c>
      <c r="J268" t="s">
        <v>77</v>
      </c>
      <c r="K268" s="2"/>
    </row>
    <row r="269" spans="1:11" x14ac:dyDescent="0.3">
      <c r="A269" s="1">
        <v>45066</v>
      </c>
      <c r="B269" t="s">
        <v>11</v>
      </c>
      <c r="C269" t="s">
        <v>17</v>
      </c>
      <c r="D269" t="s">
        <v>33</v>
      </c>
      <c r="E269" t="s">
        <v>58</v>
      </c>
      <c r="F269" t="s">
        <v>72</v>
      </c>
      <c r="G269" s="2">
        <v>8</v>
      </c>
      <c r="H269" s="2">
        <v>38200</v>
      </c>
      <c r="I269" s="2">
        <v>305600</v>
      </c>
      <c r="J269" t="s">
        <v>78</v>
      </c>
      <c r="K269" s="2"/>
    </row>
    <row r="270" spans="1:11" x14ac:dyDescent="0.3">
      <c r="A270" s="1">
        <v>45136</v>
      </c>
      <c r="B270" t="s">
        <v>11</v>
      </c>
      <c r="C270" t="s">
        <v>17</v>
      </c>
      <c r="D270" t="s">
        <v>33</v>
      </c>
      <c r="E270" t="s">
        <v>55</v>
      </c>
      <c r="F270" t="s">
        <v>70</v>
      </c>
      <c r="G270" s="2">
        <v>3</v>
      </c>
      <c r="H270" s="2">
        <v>56962</v>
      </c>
      <c r="I270" s="2">
        <v>170886</v>
      </c>
      <c r="J270" t="s">
        <v>73</v>
      </c>
      <c r="K270" s="2"/>
    </row>
    <row r="271" spans="1:11" x14ac:dyDescent="0.3">
      <c r="A271" s="1">
        <v>45122</v>
      </c>
      <c r="B271" t="s">
        <v>11</v>
      </c>
      <c r="C271" t="s">
        <v>16</v>
      </c>
      <c r="D271" t="s">
        <v>32</v>
      </c>
      <c r="E271" t="s">
        <v>66</v>
      </c>
      <c r="F271" t="s">
        <v>70</v>
      </c>
      <c r="G271" s="2">
        <v>6</v>
      </c>
      <c r="H271" s="2">
        <v>59256</v>
      </c>
      <c r="I271" s="2">
        <v>355536</v>
      </c>
      <c r="J271" t="s">
        <v>80</v>
      </c>
      <c r="K271" s="2"/>
    </row>
    <row r="272" spans="1:11" x14ac:dyDescent="0.3">
      <c r="A272" s="1">
        <v>45286</v>
      </c>
      <c r="B272" t="s">
        <v>13</v>
      </c>
      <c r="C272" t="s">
        <v>25</v>
      </c>
      <c r="D272" t="s">
        <v>46</v>
      </c>
      <c r="E272" t="s">
        <v>61</v>
      </c>
      <c r="F272" t="s">
        <v>69</v>
      </c>
      <c r="G272" s="2">
        <v>4</v>
      </c>
      <c r="H272" s="2">
        <v>51465</v>
      </c>
      <c r="I272" s="2">
        <v>205860</v>
      </c>
      <c r="J272" t="s">
        <v>77</v>
      </c>
      <c r="K272" s="2"/>
    </row>
    <row r="273" spans="1:11" x14ac:dyDescent="0.3">
      <c r="A273" s="1">
        <v>44987</v>
      </c>
      <c r="B273" t="s">
        <v>11</v>
      </c>
      <c r="C273" t="s">
        <v>24</v>
      </c>
      <c r="D273" t="s">
        <v>44</v>
      </c>
      <c r="E273" t="s">
        <v>64</v>
      </c>
      <c r="F273" t="s">
        <v>69</v>
      </c>
      <c r="G273" s="2">
        <v>1</v>
      </c>
      <c r="H273" s="2">
        <v>31773</v>
      </c>
      <c r="I273" s="2">
        <v>31773</v>
      </c>
      <c r="J273" t="s">
        <v>80</v>
      </c>
      <c r="K273" s="2"/>
    </row>
    <row r="274" spans="1:11" x14ac:dyDescent="0.3">
      <c r="A274" s="1">
        <v>45127</v>
      </c>
      <c r="B274" t="s">
        <v>13</v>
      </c>
      <c r="C274" t="s">
        <v>25</v>
      </c>
      <c r="D274" t="s">
        <v>45</v>
      </c>
      <c r="E274" t="s">
        <v>59</v>
      </c>
      <c r="F274" t="s">
        <v>71</v>
      </c>
      <c r="G274" s="2">
        <v>7</v>
      </c>
      <c r="H274" s="2">
        <v>32009</v>
      </c>
      <c r="I274" s="2">
        <v>224063</v>
      </c>
      <c r="J274" t="s">
        <v>73</v>
      </c>
      <c r="K274" s="2"/>
    </row>
    <row r="275" spans="1:11" x14ac:dyDescent="0.3">
      <c r="A275" s="1">
        <v>45215</v>
      </c>
      <c r="B275" t="s">
        <v>11</v>
      </c>
      <c r="C275" t="s">
        <v>16</v>
      </c>
      <c r="D275" t="s">
        <v>32</v>
      </c>
      <c r="E275" t="s">
        <v>62</v>
      </c>
      <c r="F275" t="s">
        <v>71</v>
      </c>
      <c r="G275" s="2">
        <v>3</v>
      </c>
      <c r="H275" s="2">
        <v>58430</v>
      </c>
      <c r="I275" s="2">
        <v>175290</v>
      </c>
      <c r="J275" t="s">
        <v>80</v>
      </c>
      <c r="K275" s="2"/>
    </row>
    <row r="276" spans="1:11" x14ac:dyDescent="0.3">
      <c r="A276" s="1">
        <v>45004</v>
      </c>
      <c r="B276" t="s">
        <v>11</v>
      </c>
      <c r="C276" t="s">
        <v>24</v>
      </c>
      <c r="D276" t="s">
        <v>44</v>
      </c>
      <c r="E276" t="s">
        <v>54</v>
      </c>
      <c r="F276" t="s">
        <v>69</v>
      </c>
      <c r="G276" s="2">
        <v>3</v>
      </c>
      <c r="H276" s="2">
        <v>1946</v>
      </c>
      <c r="I276" s="2">
        <v>5838</v>
      </c>
      <c r="J276" t="s">
        <v>80</v>
      </c>
      <c r="K276" s="2"/>
    </row>
    <row r="277" spans="1:11" x14ac:dyDescent="0.3">
      <c r="A277" s="1">
        <v>44968</v>
      </c>
      <c r="B277" t="s">
        <v>11</v>
      </c>
      <c r="C277" t="s">
        <v>24</v>
      </c>
      <c r="D277" t="s">
        <v>44</v>
      </c>
      <c r="E277" t="s">
        <v>57</v>
      </c>
      <c r="F277" t="s">
        <v>71</v>
      </c>
      <c r="G277" s="2">
        <v>5</v>
      </c>
      <c r="H277" s="2">
        <v>36876</v>
      </c>
      <c r="I277" s="2">
        <v>184380</v>
      </c>
      <c r="J277" t="s">
        <v>78</v>
      </c>
      <c r="K277" s="2"/>
    </row>
    <row r="278" spans="1:11" x14ac:dyDescent="0.3">
      <c r="A278" s="1">
        <v>44980</v>
      </c>
      <c r="B278" t="s">
        <v>10</v>
      </c>
      <c r="C278" t="s">
        <v>14</v>
      </c>
      <c r="D278" t="s">
        <v>52</v>
      </c>
      <c r="E278" t="s">
        <v>59</v>
      </c>
      <c r="F278" t="s">
        <v>71</v>
      </c>
      <c r="G278" s="2">
        <v>7</v>
      </c>
      <c r="H278" s="2">
        <v>5564</v>
      </c>
      <c r="I278" s="2">
        <v>38948</v>
      </c>
      <c r="J278" t="s">
        <v>80</v>
      </c>
      <c r="K278" s="2"/>
    </row>
    <row r="279" spans="1:11" x14ac:dyDescent="0.3">
      <c r="A279" s="1">
        <v>45111</v>
      </c>
      <c r="B279" t="s">
        <v>11</v>
      </c>
      <c r="C279" t="s">
        <v>17</v>
      </c>
      <c r="D279" t="s">
        <v>33</v>
      </c>
      <c r="E279" t="s">
        <v>57</v>
      </c>
      <c r="F279" t="s">
        <v>71</v>
      </c>
      <c r="G279" s="2">
        <v>2</v>
      </c>
      <c r="H279" s="2">
        <v>58036</v>
      </c>
      <c r="I279" s="2">
        <v>116072</v>
      </c>
      <c r="J279" t="s">
        <v>79</v>
      </c>
      <c r="K279" s="2"/>
    </row>
    <row r="280" spans="1:11" x14ac:dyDescent="0.3">
      <c r="A280" s="1">
        <v>45193</v>
      </c>
      <c r="B280" t="s">
        <v>13</v>
      </c>
      <c r="C280" t="s">
        <v>20</v>
      </c>
      <c r="D280" t="s">
        <v>36</v>
      </c>
      <c r="E280" t="s">
        <v>54</v>
      </c>
      <c r="F280" t="s">
        <v>69</v>
      </c>
      <c r="G280" s="2">
        <v>10</v>
      </c>
      <c r="H280" s="2">
        <v>8356</v>
      </c>
      <c r="I280" s="2">
        <v>83560</v>
      </c>
      <c r="J280" t="s">
        <v>78</v>
      </c>
      <c r="K280" s="2"/>
    </row>
    <row r="281" spans="1:11" x14ac:dyDescent="0.3">
      <c r="A281" s="1">
        <v>44949</v>
      </c>
      <c r="B281" t="s">
        <v>10</v>
      </c>
      <c r="C281" t="s">
        <v>15</v>
      </c>
      <c r="D281" t="s">
        <v>39</v>
      </c>
      <c r="E281" t="s">
        <v>67</v>
      </c>
      <c r="F281" t="s">
        <v>72</v>
      </c>
      <c r="G281" s="2">
        <v>3</v>
      </c>
      <c r="H281" s="2">
        <v>54932</v>
      </c>
      <c r="I281" s="2">
        <v>164796</v>
      </c>
      <c r="J281" t="s">
        <v>73</v>
      </c>
      <c r="K281" s="2"/>
    </row>
    <row r="282" spans="1:11" x14ac:dyDescent="0.3">
      <c r="A282" s="1">
        <v>44961</v>
      </c>
      <c r="B282" t="s">
        <v>10</v>
      </c>
      <c r="C282" t="s">
        <v>15</v>
      </c>
      <c r="D282" t="s">
        <v>39</v>
      </c>
      <c r="E282" t="s">
        <v>56</v>
      </c>
      <c r="F282" t="s">
        <v>70</v>
      </c>
      <c r="G282" s="2">
        <v>10</v>
      </c>
      <c r="H282" s="2">
        <v>34590</v>
      </c>
      <c r="I282" s="2">
        <v>345900</v>
      </c>
      <c r="J282" t="s">
        <v>77</v>
      </c>
      <c r="K282" s="2"/>
    </row>
    <row r="283" spans="1:11" x14ac:dyDescent="0.3">
      <c r="A283" s="1">
        <v>45262</v>
      </c>
      <c r="B283" t="s">
        <v>11</v>
      </c>
      <c r="C283" t="s">
        <v>29</v>
      </c>
      <c r="D283" t="s">
        <v>50</v>
      </c>
      <c r="E283" t="s">
        <v>56</v>
      </c>
      <c r="F283" t="s">
        <v>70</v>
      </c>
      <c r="G283" s="2">
        <v>6</v>
      </c>
      <c r="H283" s="2">
        <v>23102</v>
      </c>
      <c r="I283" s="2">
        <v>138612</v>
      </c>
      <c r="J283" t="s">
        <v>79</v>
      </c>
      <c r="K283" s="2"/>
    </row>
    <row r="284" spans="1:11" x14ac:dyDescent="0.3">
      <c r="A284" s="1">
        <v>45077</v>
      </c>
      <c r="B284" t="s">
        <v>13</v>
      </c>
      <c r="C284" t="s">
        <v>19</v>
      </c>
      <c r="D284" t="s">
        <v>35</v>
      </c>
      <c r="E284" t="s">
        <v>54</v>
      </c>
      <c r="F284" t="s">
        <v>69</v>
      </c>
      <c r="G284" s="2">
        <v>8</v>
      </c>
      <c r="H284" s="2">
        <v>55822</v>
      </c>
      <c r="I284" s="2">
        <v>446576</v>
      </c>
      <c r="J284" t="s">
        <v>79</v>
      </c>
      <c r="K284" s="2"/>
    </row>
    <row r="285" spans="1:11" x14ac:dyDescent="0.3">
      <c r="A285" s="1">
        <v>45129</v>
      </c>
      <c r="B285" t="s">
        <v>12</v>
      </c>
      <c r="C285" t="s">
        <v>22</v>
      </c>
      <c r="D285" t="s">
        <v>40</v>
      </c>
      <c r="E285" t="s">
        <v>67</v>
      </c>
      <c r="F285" t="s">
        <v>72</v>
      </c>
      <c r="G285" s="2">
        <v>6</v>
      </c>
      <c r="H285" s="2">
        <v>53012</v>
      </c>
      <c r="I285" s="2">
        <v>318072</v>
      </c>
      <c r="J285" t="s">
        <v>73</v>
      </c>
      <c r="K285" s="2"/>
    </row>
    <row r="286" spans="1:11" x14ac:dyDescent="0.3">
      <c r="A286" s="1">
        <v>45230</v>
      </c>
      <c r="B286" t="s">
        <v>13</v>
      </c>
      <c r="C286" t="s">
        <v>25</v>
      </c>
      <c r="D286" t="s">
        <v>45</v>
      </c>
      <c r="E286" t="s">
        <v>67</v>
      </c>
      <c r="F286" t="s">
        <v>72</v>
      </c>
      <c r="G286" s="2">
        <v>2</v>
      </c>
      <c r="H286" s="2">
        <v>5940</v>
      </c>
      <c r="I286" s="2">
        <v>11880</v>
      </c>
      <c r="J286" t="s">
        <v>76</v>
      </c>
      <c r="K286" s="2"/>
    </row>
    <row r="287" spans="1:11" x14ac:dyDescent="0.3">
      <c r="A287" s="1">
        <v>45112</v>
      </c>
      <c r="B287" t="s">
        <v>11</v>
      </c>
      <c r="C287" t="s">
        <v>17</v>
      </c>
      <c r="D287" t="s">
        <v>33</v>
      </c>
      <c r="E287" t="s">
        <v>59</v>
      </c>
      <c r="F287" t="s">
        <v>71</v>
      </c>
      <c r="G287" s="2">
        <v>2</v>
      </c>
      <c r="H287" s="2">
        <v>1378</v>
      </c>
      <c r="I287" s="2">
        <v>2756</v>
      </c>
      <c r="J287" t="s">
        <v>74</v>
      </c>
      <c r="K287" s="2"/>
    </row>
    <row r="288" spans="1:11" x14ac:dyDescent="0.3">
      <c r="A288" s="1">
        <v>45201</v>
      </c>
      <c r="B288" t="s">
        <v>10</v>
      </c>
      <c r="C288" t="s">
        <v>14</v>
      </c>
      <c r="D288" t="s">
        <v>30</v>
      </c>
      <c r="E288" t="s">
        <v>59</v>
      </c>
      <c r="F288" t="s">
        <v>71</v>
      </c>
      <c r="G288" s="2">
        <v>8</v>
      </c>
      <c r="H288" s="2">
        <v>5136</v>
      </c>
      <c r="I288" s="2">
        <v>41088</v>
      </c>
      <c r="J288" t="s">
        <v>74</v>
      </c>
      <c r="K288" s="2"/>
    </row>
    <row r="289" spans="1:11" x14ac:dyDescent="0.3">
      <c r="A289" s="1">
        <v>45258</v>
      </c>
      <c r="B289" t="s">
        <v>11</v>
      </c>
      <c r="C289" t="s">
        <v>16</v>
      </c>
      <c r="D289" t="s">
        <v>32</v>
      </c>
      <c r="E289" t="s">
        <v>60</v>
      </c>
      <c r="F289" t="s">
        <v>71</v>
      </c>
      <c r="G289" s="2">
        <v>4</v>
      </c>
      <c r="H289" s="2">
        <v>23610</v>
      </c>
      <c r="I289" s="2">
        <v>94440</v>
      </c>
      <c r="J289" t="s">
        <v>75</v>
      </c>
      <c r="K289" s="2"/>
    </row>
    <row r="290" spans="1:11" x14ac:dyDescent="0.3">
      <c r="A290" s="1">
        <v>45110</v>
      </c>
      <c r="B290" t="s">
        <v>12</v>
      </c>
      <c r="C290" t="s">
        <v>23</v>
      </c>
      <c r="D290" t="s">
        <v>53</v>
      </c>
      <c r="E290" t="s">
        <v>64</v>
      </c>
      <c r="F290" t="s">
        <v>69</v>
      </c>
      <c r="G290" s="2">
        <v>10</v>
      </c>
      <c r="H290" s="2">
        <v>15731</v>
      </c>
      <c r="I290" s="2">
        <v>157310</v>
      </c>
      <c r="J290" t="s">
        <v>74</v>
      </c>
      <c r="K290" s="2"/>
    </row>
    <row r="291" spans="1:11" x14ac:dyDescent="0.3">
      <c r="A291" s="1">
        <v>45020</v>
      </c>
      <c r="B291" t="s">
        <v>12</v>
      </c>
      <c r="C291" t="s">
        <v>21</v>
      </c>
      <c r="D291" t="s">
        <v>37</v>
      </c>
      <c r="E291" t="s">
        <v>62</v>
      </c>
      <c r="F291" t="s">
        <v>71</v>
      </c>
      <c r="G291" s="2">
        <v>3</v>
      </c>
      <c r="H291" s="2">
        <v>40469</v>
      </c>
      <c r="I291" s="2">
        <v>121407</v>
      </c>
      <c r="J291" t="s">
        <v>78</v>
      </c>
      <c r="K291" s="2"/>
    </row>
    <row r="292" spans="1:11" x14ac:dyDescent="0.3">
      <c r="A292" s="1">
        <v>45250</v>
      </c>
      <c r="B292" t="s">
        <v>10</v>
      </c>
      <c r="C292" t="s">
        <v>26</v>
      </c>
      <c r="D292" t="s">
        <v>26</v>
      </c>
      <c r="E292" t="s">
        <v>55</v>
      </c>
      <c r="F292" t="s">
        <v>70</v>
      </c>
      <c r="G292" s="2">
        <v>2</v>
      </c>
      <c r="H292" s="2">
        <v>36679</v>
      </c>
      <c r="I292" s="2">
        <v>73358</v>
      </c>
      <c r="J292" t="s">
        <v>77</v>
      </c>
      <c r="K292" s="2"/>
    </row>
    <row r="293" spans="1:11" x14ac:dyDescent="0.3">
      <c r="A293" s="1">
        <v>45110</v>
      </c>
      <c r="B293" t="s">
        <v>10</v>
      </c>
      <c r="C293" t="s">
        <v>26</v>
      </c>
      <c r="D293" t="s">
        <v>26</v>
      </c>
      <c r="E293" t="s">
        <v>63</v>
      </c>
      <c r="F293" t="s">
        <v>72</v>
      </c>
      <c r="G293" s="2">
        <v>3</v>
      </c>
      <c r="H293" s="2">
        <v>11107</v>
      </c>
      <c r="I293" s="2">
        <v>33321</v>
      </c>
      <c r="J293" t="s">
        <v>80</v>
      </c>
      <c r="K293" s="2"/>
    </row>
    <row r="294" spans="1:11" x14ac:dyDescent="0.3">
      <c r="A294" s="1">
        <v>45171</v>
      </c>
      <c r="B294" t="s">
        <v>12</v>
      </c>
      <c r="C294" t="s">
        <v>23</v>
      </c>
      <c r="D294" t="s">
        <v>42</v>
      </c>
      <c r="E294" t="s">
        <v>66</v>
      </c>
      <c r="F294" t="s">
        <v>70</v>
      </c>
      <c r="G294" s="2">
        <v>9</v>
      </c>
      <c r="H294" s="2">
        <v>48409</v>
      </c>
      <c r="I294" s="2">
        <v>435681</v>
      </c>
      <c r="J294" t="s">
        <v>80</v>
      </c>
      <c r="K294" s="2"/>
    </row>
    <row r="295" spans="1:11" x14ac:dyDescent="0.3">
      <c r="A295" s="1">
        <v>44978</v>
      </c>
      <c r="B295" t="s">
        <v>12</v>
      </c>
      <c r="C295" t="s">
        <v>22</v>
      </c>
      <c r="D295" t="s">
        <v>40</v>
      </c>
      <c r="E295" t="s">
        <v>60</v>
      </c>
      <c r="F295" t="s">
        <v>71</v>
      </c>
      <c r="G295" s="2">
        <v>3</v>
      </c>
      <c r="H295" s="2">
        <v>39232</v>
      </c>
      <c r="I295" s="2">
        <v>117696</v>
      </c>
      <c r="J295" t="s">
        <v>79</v>
      </c>
      <c r="K295" s="2"/>
    </row>
    <row r="296" spans="1:11" x14ac:dyDescent="0.3">
      <c r="A296" s="1">
        <v>45284</v>
      </c>
      <c r="B296" t="s">
        <v>12</v>
      </c>
      <c r="C296" t="s">
        <v>18</v>
      </c>
      <c r="D296" t="s">
        <v>43</v>
      </c>
      <c r="E296" t="s">
        <v>60</v>
      </c>
      <c r="F296" t="s">
        <v>71</v>
      </c>
      <c r="G296" s="2">
        <v>8</v>
      </c>
      <c r="H296" s="2">
        <v>19444</v>
      </c>
      <c r="I296" s="2">
        <v>155552</v>
      </c>
      <c r="J296" t="s">
        <v>73</v>
      </c>
      <c r="K296" s="2"/>
    </row>
    <row r="297" spans="1:11" x14ac:dyDescent="0.3">
      <c r="A297" s="1">
        <v>45091</v>
      </c>
      <c r="B297" t="s">
        <v>10</v>
      </c>
      <c r="C297" t="s">
        <v>27</v>
      </c>
      <c r="D297" t="s">
        <v>47</v>
      </c>
      <c r="E297" t="s">
        <v>64</v>
      </c>
      <c r="F297" t="s">
        <v>69</v>
      </c>
      <c r="G297" s="2">
        <v>4</v>
      </c>
      <c r="H297" s="2">
        <v>21336</v>
      </c>
      <c r="I297" s="2">
        <v>85344</v>
      </c>
      <c r="J297" t="s">
        <v>77</v>
      </c>
      <c r="K297" s="2"/>
    </row>
    <row r="298" spans="1:11" x14ac:dyDescent="0.3">
      <c r="A298" s="1">
        <v>45193</v>
      </c>
      <c r="B298" t="s">
        <v>13</v>
      </c>
      <c r="C298" t="s">
        <v>25</v>
      </c>
      <c r="D298" t="s">
        <v>45</v>
      </c>
      <c r="E298" t="s">
        <v>63</v>
      </c>
      <c r="F298" t="s">
        <v>72</v>
      </c>
      <c r="G298" s="2">
        <v>4</v>
      </c>
      <c r="H298" s="2">
        <v>57654</v>
      </c>
      <c r="I298" s="2">
        <v>230616</v>
      </c>
      <c r="J298" t="s">
        <v>73</v>
      </c>
      <c r="K298" s="2"/>
    </row>
    <row r="299" spans="1:11" x14ac:dyDescent="0.3">
      <c r="A299" s="1">
        <v>45120</v>
      </c>
      <c r="B299" t="s">
        <v>13</v>
      </c>
      <c r="C299" t="s">
        <v>25</v>
      </c>
      <c r="D299" t="s">
        <v>46</v>
      </c>
      <c r="E299" t="s">
        <v>62</v>
      </c>
      <c r="F299" t="s">
        <v>71</v>
      </c>
      <c r="G299" s="2">
        <v>8</v>
      </c>
      <c r="H299" s="2">
        <v>8819</v>
      </c>
      <c r="I299" s="2">
        <v>70552</v>
      </c>
      <c r="J299" t="s">
        <v>73</v>
      </c>
      <c r="K299" s="2"/>
    </row>
    <row r="300" spans="1:11" x14ac:dyDescent="0.3">
      <c r="A300" s="1">
        <v>45091</v>
      </c>
      <c r="B300" t="s">
        <v>12</v>
      </c>
      <c r="C300" t="s">
        <v>23</v>
      </c>
      <c r="D300" t="s">
        <v>53</v>
      </c>
      <c r="E300" t="s">
        <v>57</v>
      </c>
      <c r="F300" t="s">
        <v>71</v>
      </c>
      <c r="G300" s="2">
        <v>5</v>
      </c>
      <c r="H300" s="2">
        <v>52837</v>
      </c>
      <c r="I300" s="2">
        <v>264185</v>
      </c>
      <c r="J300" t="s">
        <v>80</v>
      </c>
      <c r="K300" s="2"/>
    </row>
    <row r="301" spans="1:11" x14ac:dyDescent="0.3">
      <c r="A301" s="1">
        <v>45186</v>
      </c>
      <c r="B301" t="s">
        <v>13</v>
      </c>
      <c r="C301" t="s">
        <v>19</v>
      </c>
      <c r="D301" t="s">
        <v>35</v>
      </c>
      <c r="E301" t="s">
        <v>54</v>
      </c>
      <c r="F301" t="s">
        <v>69</v>
      </c>
      <c r="G301" s="2">
        <v>8</v>
      </c>
      <c r="H301" s="2">
        <v>39507</v>
      </c>
      <c r="I301" s="2">
        <v>316056</v>
      </c>
      <c r="J301" t="s">
        <v>75</v>
      </c>
      <c r="K301" s="2"/>
    </row>
    <row r="302" spans="1:11" x14ac:dyDescent="0.3">
      <c r="A302" s="1">
        <v>45182</v>
      </c>
      <c r="B302" t="s">
        <v>10</v>
      </c>
      <c r="C302" t="s">
        <v>27</v>
      </c>
      <c r="D302" t="s">
        <v>49</v>
      </c>
      <c r="E302" t="s">
        <v>68</v>
      </c>
      <c r="F302" t="s">
        <v>69</v>
      </c>
      <c r="G302" s="2">
        <v>10</v>
      </c>
      <c r="H302" s="2">
        <v>59870</v>
      </c>
      <c r="I302" s="2">
        <v>598700</v>
      </c>
      <c r="J302" t="s">
        <v>79</v>
      </c>
      <c r="K302" s="2"/>
    </row>
    <row r="303" spans="1:11" x14ac:dyDescent="0.3">
      <c r="A303" s="1">
        <v>45014</v>
      </c>
      <c r="B303" t="s">
        <v>10</v>
      </c>
      <c r="C303" t="s">
        <v>27</v>
      </c>
      <c r="D303" t="s">
        <v>49</v>
      </c>
      <c r="E303" t="s">
        <v>61</v>
      </c>
      <c r="F303" t="s">
        <v>69</v>
      </c>
      <c r="G303" s="2">
        <v>3</v>
      </c>
      <c r="H303" s="2">
        <v>13891</v>
      </c>
      <c r="I303" s="2">
        <v>41673</v>
      </c>
      <c r="J303" t="s">
        <v>74</v>
      </c>
      <c r="K303" s="2"/>
    </row>
    <row r="304" spans="1:11" x14ac:dyDescent="0.3">
      <c r="A304" s="1">
        <v>45246</v>
      </c>
      <c r="B304" t="s">
        <v>10</v>
      </c>
      <c r="C304" t="s">
        <v>14</v>
      </c>
      <c r="D304" t="s">
        <v>52</v>
      </c>
      <c r="E304" t="s">
        <v>63</v>
      </c>
      <c r="F304" t="s">
        <v>72</v>
      </c>
      <c r="G304" s="2">
        <v>3</v>
      </c>
      <c r="H304" s="2">
        <v>4843</v>
      </c>
      <c r="I304" s="2">
        <v>14529</v>
      </c>
      <c r="J304" t="s">
        <v>78</v>
      </c>
      <c r="K304" s="2"/>
    </row>
    <row r="305" spans="1:11" x14ac:dyDescent="0.3">
      <c r="A305" s="1">
        <v>45166</v>
      </c>
      <c r="B305" t="s">
        <v>10</v>
      </c>
      <c r="C305" t="s">
        <v>14</v>
      </c>
      <c r="D305" t="s">
        <v>52</v>
      </c>
      <c r="E305" t="s">
        <v>68</v>
      </c>
      <c r="F305" t="s">
        <v>69</v>
      </c>
      <c r="G305" s="2">
        <v>5</v>
      </c>
      <c r="H305" s="2">
        <v>50442</v>
      </c>
      <c r="I305" s="2">
        <v>252210</v>
      </c>
      <c r="J305" t="s">
        <v>74</v>
      </c>
      <c r="K305" s="2"/>
    </row>
    <row r="306" spans="1:11" x14ac:dyDescent="0.3">
      <c r="A306" s="1">
        <v>45184</v>
      </c>
      <c r="B306" t="s">
        <v>11</v>
      </c>
      <c r="C306" t="s">
        <v>17</v>
      </c>
      <c r="D306" t="s">
        <v>33</v>
      </c>
      <c r="E306" t="s">
        <v>55</v>
      </c>
      <c r="F306" t="s">
        <v>70</v>
      </c>
      <c r="G306" s="2">
        <v>5</v>
      </c>
      <c r="H306" s="2">
        <v>25513</v>
      </c>
      <c r="I306" s="2">
        <v>127565</v>
      </c>
      <c r="J306" t="s">
        <v>79</v>
      </c>
      <c r="K306" s="2"/>
    </row>
    <row r="307" spans="1:11" x14ac:dyDescent="0.3">
      <c r="A307" s="1">
        <v>45022</v>
      </c>
      <c r="B307" t="s">
        <v>12</v>
      </c>
      <c r="C307" t="s">
        <v>18</v>
      </c>
      <c r="D307" t="s">
        <v>43</v>
      </c>
      <c r="E307" t="s">
        <v>57</v>
      </c>
      <c r="F307" t="s">
        <v>71</v>
      </c>
      <c r="G307" s="2">
        <v>3</v>
      </c>
      <c r="H307" s="2">
        <v>33798</v>
      </c>
      <c r="I307" s="2">
        <v>101394</v>
      </c>
      <c r="J307" t="s">
        <v>75</v>
      </c>
      <c r="K307" s="2"/>
    </row>
    <row r="308" spans="1:11" x14ac:dyDescent="0.3">
      <c r="A308" s="1">
        <v>45022</v>
      </c>
      <c r="B308" t="s">
        <v>10</v>
      </c>
      <c r="C308" t="s">
        <v>14</v>
      </c>
      <c r="D308" t="s">
        <v>30</v>
      </c>
      <c r="E308" t="s">
        <v>59</v>
      </c>
      <c r="F308" t="s">
        <v>71</v>
      </c>
      <c r="G308" s="2">
        <v>1</v>
      </c>
      <c r="H308" s="2">
        <v>33181</v>
      </c>
      <c r="I308" s="2">
        <v>33181</v>
      </c>
      <c r="J308" t="s">
        <v>78</v>
      </c>
      <c r="K308" s="2"/>
    </row>
    <row r="309" spans="1:11" x14ac:dyDescent="0.3">
      <c r="A309" s="1">
        <v>45070</v>
      </c>
      <c r="B309" t="s">
        <v>11</v>
      </c>
      <c r="C309" t="s">
        <v>16</v>
      </c>
      <c r="D309" t="s">
        <v>32</v>
      </c>
      <c r="E309" t="s">
        <v>62</v>
      </c>
      <c r="F309" t="s">
        <v>71</v>
      </c>
      <c r="G309" s="2">
        <v>4</v>
      </c>
      <c r="H309" s="2">
        <v>26084</v>
      </c>
      <c r="I309" s="2">
        <v>104336</v>
      </c>
      <c r="J309" t="s">
        <v>79</v>
      </c>
      <c r="K309" s="2"/>
    </row>
    <row r="310" spans="1:11" x14ac:dyDescent="0.3">
      <c r="A310" s="1">
        <v>45112</v>
      </c>
      <c r="B310" t="s">
        <v>13</v>
      </c>
      <c r="C310" t="s">
        <v>28</v>
      </c>
      <c r="D310" t="s">
        <v>51</v>
      </c>
      <c r="E310" t="s">
        <v>55</v>
      </c>
      <c r="F310" t="s">
        <v>70</v>
      </c>
      <c r="G310" s="2">
        <v>8</v>
      </c>
      <c r="H310" s="2">
        <v>47912</v>
      </c>
      <c r="I310" s="2">
        <v>383296</v>
      </c>
      <c r="J310" t="s">
        <v>75</v>
      </c>
      <c r="K310" s="2"/>
    </row>
    <row r="311" spans="1:11" x14ac:dyDescent="0.3">
      <c r="A311" s="1">
        <v>45164</v>
      </c>
      <c r="B311" t="s">
        <v>12</v>
      </c>
      <c r="C311" t="s">
        <v>23</v>
      </c>
      <c r="D311" t="s">
        <v>53</v>
      </c>
      <c r="E311" t="s">
        <v>62</v>
      </c>
      <c r="F311" t="s">
        <v>71</v>
      </c>
      <c r="G311" s="2">
        <v>1</v>
      </c>
      <c r="H311" s="2">
        <v>21141</v>
      </c>
      <c r="I311" s="2">
        <v>21141</v>
      </c>
      <c r="J311" t="s">
        <v>77</v>
      </c>
      <c r="K311" s="2"/>
    </row>
    <row r="312" spans="1:11" x14ac:dyDescent="0.3">
      <c r="A312" s="1">
        <v>44990</v>
      </c>
      <c r="B312" t="s">
        <v>13</v>
      </c>
      <c r="C312" t="s">
        <v>20</v>
      </c>
      <c r="D312" t="s">
        <v>36</v>
      </c>
      <c r="E312" t="s">
        <v>62</v>
      </c>
      <c r="F312" t="s">
        <v>71</v>
      </c>
      <c r="G312" s="2">
        <v>5</v>
      </c>
      <c r="H312" s="2">
        <v>14446</v>
      </c>
      <c r="I312" s="2">
        <v>72230</v>
      </c>
      <c r="J312" t="s">
        <v>75</v>
      </c>
      <c r="K312" s="2"/>
    </row>
    <row r="313" spans="1:11" x14ac:dyDescent="0.3">
      <c r="A313" s="1">
        <v>45130</v>
      </c>
      <c r="B313" t="s">
        <v>13</v>
      </c>
      <c r="C313" t="s">
        <v>25</v>
      </c>
      <c r="D313" t="s">
        <v>45</v>
      </c>
      <c r="E313" t="s">
        <v>59</v>
      </c>
      <c r="F313" t="s">
        <v>71</v>
      </c>
      <c r="G313" s="2">
        <v>9</v>
      </c>
      <c r="H313" s="2">
        <v>20939</v>
      </c>
      <c r="I313" s="2">
        <v>188451</v>
      </c>
      <c r="J313" t="s">
        <v>75</v>
      </c>
      <c r="K313" s="2"/>
    </row>
    <row r="314" spans="1:11" x14ac:dyDescent="0.3">
      <c r="A314" s="1">
        <v>44990</v>
      </c>
      <c r="B314" t="s">
        <v>12</v>
      </c>
      <c r="C314" t="s">
        <v>23</v>
      </c>
      <c r="D314" t="s">
        <v>42</v>
      </c>
      <c r="E314" t="s">
        <v>59</v>
      </c>
      <c r="F314" t="s">
        <v>71</v>
      </c>
      <c r="G314" s="2">
        <v>8</v>
      </c>
      <c r="H314" s="2">
        <v>16117</v>
      </c>
      <c r="I314" s="2">
        <v>128936</v>
      </c>
      <c r="J314" t="s">
        <v>75</v>
      </c>
      <c r="K314" s="2"/>
    </row>
    <row r="315" spans="1:11" x14ac:dyDescent="0.3">
      <c r="A315" s="1">
        <v>45148</v>
      </c>
      <c r="B315" t="s">
        <v>13</v>
      </c>
      <c r="C315" t="s">
        <v>28</v>
      </c>
      <c r="D315" t="s">
        <v>48</v>
      </c>
      <c r="E315" t="s">
        <v>68</v>
      </c>
      <c r="F315" t="s">
        <v>69</v>
      </c>
      <c r="G315" s="2">
        <v>4</v>
      </c>
      <c r="H315" s="2">
        <v>23795</v>
      </c>
      <c r="I315" s="2">
        <v>95180</v>
      </c>
      <c r="J315" t="s">
        <v>75</v>
      </c>
      <c r="K315" s="2"/>
    </row>
    <row r="316" spans="1:11" x14ac:dyDescent="0.3">
      <c r="A316" s="1">
        <v>45214</v>
      </c>
      <c r="B316" t="s">
        <v>10</v>
      </c>
      <c r="C316" t="s">
        <v>14</v>
      </c>
      <c r="D316" t="s">
        <v>52</v>
      </c>
      <c r="E316" t="s">
        <v>66</v>
      </c>
      <c r="F316" t="s">
        <v>70</v>
      </c>
      <c r="G316" s="2">
        <v>2</v>
      </c>
      <c r="H316" s="2">
        <v>28878</v>
      </c>
      <c r="I316" s="2">
        <v>57756</v>
      </c>
      <c r="J316" t="s">
        <v>79</v>
      </c>
      <c r="K316" s="2"/>
    </row>
    <row r="317" spans="1:11" x14ac:dyDescent="0.3">
      <c r="A317" s="1">
        <v>45080</v>
      </c>
      <c r="B317" t="s">
        <v>13</v>
      </c>
      <c r="C317" t="s">
        <v>20</v>
      </c>
      <c r="D317" t="s">
        <v>36</v>
      </c>
      <c r="E317" t="s">
        <v>58</v>
      </c>
      <c r="F317" t="s">
        <v>72</v>
      </c>
      <c r="G317" s="2">
        <v>6</v>
      </c>
      <c r="H317" s="2">
        <v>48255</v>
      </c>
      <c r="I317" s="2">
        <v>289530</v>
      </c>
      <c r="J317" t="s">
        <v>78</v>
      </c>
      <c r="K317" s="2"/>
    </row>
    <row r="318" spans="1:11" x14ac:dyDescent="0.3">
      <c r="A318" s="1">
        <v>45188</v>
      </c>
      <c r="B318" t="s">
        <v>13</v>
      </c>
      <c r="C318" t="s">
        <v>20</v>
      </c>
      <c r="D318" t="s">
        <v>36</v>
      </c>
      <c r="E318" t="s">
        <v>63</v>
      </c>
      <c r="F318" t="s">
        <v>72</v>
      </c>
      <c r="G318" s="2">
        <v>9</v>
      </c>
      <c r="H318" s="2">
        <v>43897</v>
      </c>
      <c r="I318" s="2">
        <v>395073</v>
      </c>
      <c r="J318" t="s">
        <v>79</v>
      </c>
      <c r="K318" s="2"/>
    </row>
    <row r="319" spans="1:11" x14ac:dyDescent="0.3">
      <c r="A319" s="1">
        <v>44991</v>
      </c>
      <c r="B319" t="s">
        <v>10</v>
      </c>
      <c r="C319" t="s">
        <v>27</v>
      </c>
      <c r="D319" t="s">
        <v>49</v>
      </c>
      <c r="E319" t="s">
        <v>56</v>
      </c>
      <c r="F319" t="s">
        <v>70</v>
      </c>
      <c r="G319" s="2">
        <v>7</v>
      </c>
      <c r="H319" s="2">
        <v>28914</v>
      </c>
      <c r="I319" s="2">
        <v>202398</v>
      </c>
      <c r="J319" t="s">
        <v>77</v>
      </c>
      <c r="K319" s="2"/>
    </row>
    <row r="320" spans="1:11" x14ac:dyDescent="0.3">
      <c r="A320" s="1">
        <v>44965</v>
      </c>
      <c r="B320" t="s">
        <v>12</v>
      </c>
      <c r="C320" t="s">
        <v>22</v>
      </c>
      <c r="D320" t="s">
        <v>40</v>
      </c>
      <c r="E320" t="s">
        <v>65</v>
      </c>
      <c r="F320" t="s">
        <v>72</v>
      </c>
      <c r="G320" s="2">
        <v>2</v>
      </c>
      <c r="H320" s="2">
        <v>40777</v>
      </c>
      <c r="I320" s="2">
        <v>81554</v>
      </c>
      <c r="J320" t="s">
        <v>80</v>
      </c>
      <c r="K320" s="2"/>
    </row>
    <row r="321" spans="1:11" x14ac:dyDescent="0.3">
      <c r="A321" s="1">
        <v>44991</v>
      </c>
      <c r="B321" t="s">
        <v>11</v>
      </c>
      <c r="C321" t="s">
        <v>29</v>
      </c>
      <c r="D321" t="s">
        <v>50</v>
      </c>
      <c r="E321" t="s">
        <v>65</v>
      </c>
      <c r="F321" t="s">
        <v>72</v>
      </c>
      <c r="G321" s="2">
        <v>8</v>
      </c>
      <c r="H321" s="2">
        <v>55117</v>
      </c>
      <c r="I321" s="2">
        <v>440936</v>
      </c>
      <c r="J321" t="s">
        <v>76</v>
      </c>
      <c r="K321" s="2"/>
    </row>
    <row r="322" spans="1:11" x14ac:dyDescent="0.3">
      <c r="A322" s="1">
        <v>44963</v>
      </c>
      <c r="B322" t="s">
        <v>12</v>
      </c>
      <c r="C322" t="s">
        <v>23</v>
      </c>
      <c r="D322" t="s">
        <v>42</v>
      </c>
      <c r="E322" t="s">
        <v>64</v>
      </c>
      <c r="F322" t="s">
        <v>69</v>
      </c>
      <c r="G322" s="2">
        <v>7</v>
      </c>
      <c r="H322" s="2">
        <v>14948</v>
      </c>
      <c r="I322" s="2">
        <v>104636</v>
      </c>
      <c r="J322" t="s">
        <v>80</v>
      </c>
      <c r="K322" s="2"/>
    </row>
    <row r="323" spans="1:11" x14ac:dyDescent="0.3">
      <c r="A323" s="1">
        <v>45045</v>
      </c>
      <c r="B323" t="s">
        <v>12</v>
      </c>
      <c r="C323" t="s">
        <v>23</v>
      </c>
      <c r="D323" t="s">
        <v>42</v>
      </c>
      <c r="E323" t="s">
        <v>67</v>
      </c>
      <c r="F323" t="s">
        <v>72</v>
      </c>
      <c r="G323" s="2">
        <v>4</v>
      </c>
      <c r="H323" s="2">
        <v>31471</v>
      </c>
      <c r="I323" s="2">
        <v>125884</v>
      </c>
      <c r="J323" t="s">
        <v>74</v>
      </c>
      <c r="K323" s="2"/>
    </row>
    <row r="324" spans="1:11" x14ac:dyDescent="0.3">
      <c r="A324" s="1">
        <v>45114</v>
      </c>
      <c r="B324" t="s">
        <v>13</v>
      </c>
      <c r="C324" t="s">
        <v>28</v>
      </c>
      <c r="D324" t="s">
        <v>51</v>
      </c>
      <c r="E324" t="s">
        <v>64</v>
      </c>
      <c r="F324" t="s">
        <v>69</v>
      </c>
      <c r="G324" s="2">
        <v>1</v>
      </c>
      <c r="H324" s="2">
        <v>21142</v>
      </c>
      <c r="I324" s="2">
        <v>21142</v>
      </c>
      <c r="J324" t="s">
        <v>75</v>
      </c>
      <c r="K324" s="2"/>
    </row>
    <row r="325" spans="1:11" x14ac:dyDescent="0.3">
      <c r="A325" s="1">
        <v>45231</v>
      </c>
      <c r="B325" t="s">
        <v>10</v>
      </c>
      <c r="C325" t="s">
        <v>15</v>
      </c>
      <c r="D325" t="s">
        <v>39</v>
      </c>
      <c r="E325" t="s">
        <v>56</v>
      </c>
      <c r="F325" t="s">
        <v>70</v>
      </c>
      <c r="G325" s="2">
        <v>5</v>
      </c>
      <c r="H325" s="2">
        <v>55714</v>
      </c>
      <c r="I325" s="2">
        <v>278570</v>
      </c>
      <c r="J325" t="s">
        <v>74</v>
      </c>
      <c r="K325" s="2"/>
    </row>
    <row r="326" spans="1:11" x14ac:dyDescent="0.3">
      <c r="A326" s="1">
        <v>45010</v>
      </c>
      <c r="B326" t="s">
        <v>12</v>
      </c>
      <c r="C326" t="s">
        <v>21</v>
      </c>
      <c r="D326" t="s">
        <v>38</v>
      </c>
      <c r="E326" t="s">
        <v>61</v>
      </c>
      <c r="F326" t="s">
        <v>69</v>
      </c>
      <c r="G326" s="2">
        <v>3</v>
      </c>
      <c r="H326" s="2">
        <v>6209</v>
      </c>
      <c r="I326" s="2">
        <v>18627</v>
      </c>
      <c r="J326" t="s">
        <v>75</v>
      </c>
      <c r="K326" s="2"/>
    </row>
    <row r="327" spans="1:11" x14ac:dyDescent="0.3">
      <c r="A327" s="1">
        <v>45280</v>
      </c>
      <c r="B327" t="s">
        <v>11</v>
      </c>
      <c r="C327" t="s">
        <v>29</v>
      </c>
      <c r="D327" t="s">
        <v>50</v>
      </c>
      <c r="E327" t="s">
        <v>54</v>
      </c>
      <c r="F327" t="s">
        <v>69</v>
      </c>
      <c r="G327" s="2">
        <v>6</v>
      </c>
      <c r="H327" s="2">
        <v>39958</v>
      </c>
      <c r="I327" s="2">
        <v>239748</v>
      </c>
      <c r="J327" t="s">
        <v>76</v>
      </c>
      <c r="K327" s="2"/>
    </row>
    <row r="328" spans="1:11" x14ac:dyDescent="0.3">
      <c r="A328" s="1">
        <v>45037</v>
      </c>
      <c r="B328" t="s">
        <v>10</v>
      </c>
      <c r="C328" t="s">
        <v>26</v>
      </c>
      <c r="D328" t="s">
        <v>26</v>
      </c>
      <c r="E328" t="s">
        <v>59</v>
      </c>
      <c r="F328" t="s">
        <v>71</v>
      </c>
      <c r="G328" s="2">
        <v>4</v>
      </c>
      <c r="H328" s="2">
        <v>50581</v>
      </c>
      <c r="I328" s="2">
        <v>202324</v>
      </c>
      <c r="J328" t="s">
        <v>74</v>
      </c>
      <c r="K328" s="2"/>
    </row>
    <row r="329" spans="1:11" x14ac:dyDescent="0.3">
      <c r="A329" s="1">
        <v>45165</v>
      </c>
      <c r="B329" t="s">
        <v>11</v>
      </c>
      <c r="C329" t="s">
        <v>29</v>
      </c>
      <c r="D329" t="s">
        <v>50</v>
      </c>
      <c r="E329" t="s">
        <v>63</v>
      </c>
      <c r="F329" t="s">
        <v>72</v>
      </c>
      <c r="G329" s="2">
        <v>3</v>
      </c>
      <c r="H329" s="2">
        <v>48504</v>
      </c>
      <c r="I329" s="2">
        <v>145512</v>
      </c>
      <c r="J329" t="s">
        <v>79</v>
      </c>
      <c r="K329" s="2"/>
    </row>
    <row r="330" spans="1:11" x14ac:dyDescent="0.3">
      <c r="A330" s="1">
        <v>45030</v>
      </c>
      <c r="B330" t="s">
        <v>11</v>
      </c>
      <c r="C330" t="s">
        <v>16</v>
      </c>
      <c r="D330" t="s">
        <v>32</v>
      </c>
      <c r="E330" t="s">
        <v>68</v>
      </c>
      <c r="F330" t="s">
        <v>69</v>
      </c>
      <c r="G330" s="2">
        <v>4</v>
      </c>
      <c r="H330" s="2">
        <v>35953</v>
      </c>
      <c r="I330" s="2">
        <v>143812</v>
      </c>
      <c r="J330" t="s">
        <v>75</v>
      </c>
      <c r="K330" s="2"/>
    </row>
    <row r="331" spans="1:11" x14ac:dyDescent="0.3">
      <c r="A331" s="1">
        <v>45108</v>
      </c>
      <c r="B331" t="s">
        <v>13</v>
      </c>
      <c r="C331" t="s">
        <v>25</v>
      </c>
      <c r="D331" t="s">
        <v>45</v>
      </c>
      <c r="E331" t="s">
        <v>56</v>
      </c>
      <c r="F331" t="s">
        <v>70</v>
      </c>
      <c r="G331" s="2">
        <v>6</v>
      </c>
      <c r="H331" s="2">
        <v>28874</v>
      </c>
      <c r="I331" s="2">
        <v>173244</v>
      </c>
      <c r="J331" t="s">
        <v>74</v>
      </c>
      <c r="K331" s="2"/>
    </row>
    <row r="332" spans="1:11" x14ac:dyDescent="0.3">
      <c r="A332" s="1">
        <v>45106</v>
      </c>
      <c r="B332" t="s">
        <v>12</v>
      </c>
      <c r="C332" t="s">
        <v>23</v>
      </c>
      <c r="D332" t="s">
        <v>42</v>
      </c>
      <c r="E332" t="s">
        <v>68</v>
      </c>
      <c r="F332" t="s">
        <v>69</v>
      </c>
      <c r="G332" s="2">
        <v>8</v>
      </c>
      <c r="H332" s="2">
        <v>26065</v>
      </c>
      <c r="I332" s="2">
        <v>208520</v>
      </c>
      <c r="J332" t="s">
        <v>79</v>
      </c>
      <c r="K332" s="2"/>
    </row>
    <row r="333" spans="1:11" x14ac:dyDescent="0.3">
      <c r="A333" s="1">
        <v>45007</v>
      </c>
      <c r="B333" t="s">
        <v>12</v>
      </c>
      <c r="C333" t="s">
        <v>22</v>
      </c>
      <c r="D333" t="s">
        <v>40</v>
      </c>
      <c r="E333" t="s">
        <v>56</v>
      </c>
      <c r="F333" t="s">
        <v>70</v>
      </c>
      <c r="G333" s="2">
        <v>1</v>
      </c>
      <c r="H333" s="2">
        <v>28150</v>
      </c>
      <c r="I333" s="2">
        <v>28150</v>
      </c>
      <c r="J333" t="s">
        <v>80</v>
      </c>
      <c r="K333" s="2"/>
    </row>
    <row r="334" spans="1:11" x14ac:dyDescent="0.3">
      <c r="A334" s="1">
        <v>45149</v>
      </c>
      <c r="B334" t="s">
        <v>12</v>
      </c>
      <c r="C334" t="s">
        <v>22</v>
      </c>
      <c r="D334" t="s">
        <v>40</v>
      </c>
      <c r="E334" t="s">
        <v>63</v>
      </c>
      <c r="F334" t="s">
        <v>72</v>
      </c>
      <c r="G334" s="2">
        <v>9</v>
      </c>
      <c r="H334" s="2">
        <v>30649</v>
      </c>
      <c r="I334" s="2">
        <v>275841</v>
      </c>
      <c r="J334" t="s">
        <v>78</v>
      </c>
      <c r="K334" s="2"/>
    </row>
    <row r="335" spans="1:11" x14ac:dyDescent="0.3">
      <c r="A335" s="1">
        <v>45046</v>
      </c>
      <c r="B335" t="s">
        <v>12</v>
      </c>
      <c r="C335" t="s">
        <v>22</v>
      </c>
      <c r="D335" t="s">
        <v>40</v>
      </c>
      <c r="E335" t="s">
        <v>66</v>
      </c>
      <c r="F335" t="s">
        <v>70</v>
      </c>
      <c r="G335" s="2">
        <v>1</v>
      </c>
      <c r="H335" s="2">
        <v>5442</v>
      </c>
      <c r="I335" s="2">
        <v>5442</v>
      </c>
      <c r="J335" t="s">
        <v>73</v>
      </c>
      <c r="K335" s="2"/>
    </row>
    <row r="336" spans="1:11" x14ac:dyDescent="0.3">
      <c r="A336" s="1">
        <v>45246</v>
      </c>
      <c r="B336" t="s">
        <v>11</v>
      </c>
      <c r="C336" t="s">
        <v>24</v>
      </c>
      <c r="D336" t="s">
        <v>44</v>
      </c>
      <c r="E336" t="s">
        <v>66</v>
      </c>
      <c r="F336" t="s">
        <v>70</v>
      </c>
      <c r="G336" s="2">
        <v>4</v>
      </c>
      <c r="H336" s="2">
        <v>4667</v>
      </c>
      <c r="I336" s="2">
        <v>18668</v>
      </c>
      <c r="J336" t="s">
        <v>77</v>
      </c>
      <c r="K336" s="2"/>
    </row>
    <row r="337" spans="1:11" x14ac:dyDescent="0.3">
      <c r="A337" s="1">
        <v>44970</v>
      </c>
      <c r="B337" t="s">
        <v>12</v>
      </c>
      <c r="C337" t="s">
        <v>23</v>
      </c>
      <c r="D337" t="s">
        <v>53</v>
      </c>
      <c r="E337" t="s">
        <v>61</v>
      </c>
      <c r="F337" t="s">
        <v>69</v>
      </c>
      <c r="G337" s="2">
        <v>5</v>
      </c>
      <c r="H337" s="2">
        <v>51240</v>
      </c>
      <c r="I337" s="2">
        <v>256200</v>
      </c>
      <c r="J337" t="s">
        <v>74</v>
      </c>
      <c r="K337" s="2"/>
    </row>
    <row r="338" spans="1:11" x14ac:dyDescent="0.3">
      <c r="A338" s="1">
        <v>45242</v>
      </c>
      <c r="B338" t="s">
        <v>13</v>
      </c>
      <c r="C338" t="s">
        <v>20</v>
      </c>
      <c r="D338" t="s">
        <v>36</v>
      </c>
      <c r="E338" t="s">
        <v>56</v>
      </c>
      <c r="F338" t="s">
        <v>70</v>
      </c>
      <c r="G338" s="2">
        <v>4</v>
      </c>
      <c r="H338" s="2">
        <v>43157</v>
      </c>
      <c r="I338" s="2">
        <v>172628</v>
      </c>
      <c r="J338" t="s">
        <v>78</v>
      </c>
      <c r="K338" s="2"/>
    </row>
    <row r="339" spans="1:11" x14ac:dyDescent="0.3">
      <c r="A339" s="1">
        <v>44978</v>
      </c>
      <c r="B339" t="s">
        <v>12</v>
      </c>
      <c r="C339" t="s">
        <v>23</v>
      </c>
      <c r="D339" t="s">
        <v>42</v>
      </c>
      <c r="E339" t="s">
        <v>61</v>
      </c>
      <c r="F339" t="s">
        <v>69</v>
      </c>
      <c r="G339" s="2">
        <v>3</v>
      </c>
      <c r="H339" s="2">
        <v>10958</v>
      </c>
      <c r="I339" s="2">
        <v>32874</v>
      </c>
      <c r="J339" t="s">
        <v>77</v>
      </c>
      <c r="K339" s="2"/>
    </row>
    <row r="340" spans="1:11" x14ac:dyDescent="0.3">
      <c r="A340" s="1">
        <v>45247</v>
      </c>
      <c r="B340" t="s">
        <v>11</v>
      </c>
      <c r="C340" t="s">
        <v>29</v>
      </c>
      <c r="D340" t="s">
        <v>50</v>
      </c>
      <c r="E340" t="s">
        <v>55</v>
      </c>
      <c r="F340" t="s">
        <v>70</v>
      </c>
      <c r="G340" s="2">
        <v>7</v>
      </c>
      <c r="H340" s="2">
        <v>49666</v>
      </c>
      <c r="I340" s="2">
        <v>347662</v>
      </c>
      <c r="J340" t="s">
        <v>78</v>
      </c>
      <c r="K340" s="2"/>
    </row>
    <row r="341" spans="1:11" x14ac:dyDescent="0.3">
      <c r="A341" s="1">
        <v>45083</v>
      </c>
      <c r="B341" t="s">
        <v>13</v>
      </c>
      <c r="C341" t="s">
        <v>25</v>
      </c>
      <c r="D341" t="s">
        <v>45</v>
      </c>
      <c r="E341" t="s">
        <v>56</v>
      </c>
      <c r="F341" t="s">
        <v>70</v>
      </c>
      <c r="G341" s="2">
        <v>1</v>
      </c>
      <c r="H341" s="2">
        <v>35832</v>
      </c>
      <c r="I341" s="2">
        <v>35832</v>
      </c>
      <c r="J341" t="s">
        <v>74</v>
      </c>
      <c r="K341" s="2"/>
    </row>
    <row r="342" spans="1:11" x14ac:dyDescent="0.3">
      <c r="A342" s="1">
        <v>44980</v>
      </c>
      <c r="B342" t="s">
        <v>13</v>
      </c>
      <c r="C342" t="s">
        <v>28</v>
      </c>
      <c r="D342" t="s">
        <v>51</v>
      </c>
      <c r="E342" t="s">
        <v>56</v>
      </c>
      <c r="F342" t="s">
        <v>70</v>
      </c>
      <c r="G342" s="2">
        <v>5</v>
      </c>
      <c r="H342" s="2">
        <v>40480</v>
      </c>
      <c r="I342" s="2">
        <v>202400</v>
      </c>
      <c r="J342" t="s">
        <v>73</v>
      </c>
      <c r="K342" s="2"/>
    </row>
    <row r="343" spans="1:11" x14ac:dyDescent="0.3">
      <c r="A343" s="1">
        <v>45023</v>
      </c>
      <c r="B343" t="s">
        <v>10</v>
      </c>
      <c r="C343" t="s">
        <v>15</v>
      </c>
      <c r="D343" t="s">
        <v>31</v>
      </c>
      <c r="E343" t="s">
        <v>65</v>
      </c>
      <c r="F343" t="s">
        <v>72</v>
      </c>
      <c r="G343" s="2">
        <v>6</v>
      </c>
      <c r="H343" s="2">
        <v>58155</v>
      </c>
      <c r="I343" s="2">
        <v>348930</v>
      </c>
      <c r="J343" t="s">
        <v>80</v>
      </c>
      <c r="K343" s="2"/>
    </row>
    <row r="344" spans="1:11" x14ac:dyDescent="0.3">
      <c r="A344" s="1">
        <v>45161</v>
      </c>
      <c r="B344" t="s">
        <v>13</v>
      </c>
      <c r="C344" t="s">
        <v>20</v>
      </c>
      <c r="D344" t="s">
        <v>36</v>
      </c>
      <c r="E344" t="s">
        <v>58</v>
      </c>
      <c r="F344" t="s">
        <v>72</v>
      </c>
      <c r="G344" s="2">
        <v>2</v>
      </c>
      <c r="H344" s="2">
        <v>42764</v>
      </c>
      <c r="I344" s="2">
        <v>85528</v>
      </c>
      <c r="J344" t="s">
        <v>79</v>
      </c>
      <c r="K344" s="2"/>
    </row>
    <row r="345" spans="1:11" x14ac:dyDescent="0.3">
      <c r="A345" s="1">
        <v>44950</v>
      </c>
      <c r="B345" t="s">
        <v>11</v>
      </c>
      <c r="C345" t="s">
        <v>24</v>
      </c>
      <c r="D345" t="s">
        <v>44</v>
      </c>
      <c r="E345" t="s">
        <v>57</v>
      </c>
      <c r="F345" t="s">
        <v>71</v>
      </c>
      <c r="G345" s="2">
        <v>8</v>
      </c>
      <c r="H345" s="2">
        <v>58098</v>
      </c>
      <c r="I345" s="2">
        <v>464784</v>
      </c>
      <c r="J345" t="s">
        <v>76</v>
      </c>
      <c r="K345" s="2"/>
    </row>
    <row r="346" spans="1:11" x14ac:dyDescent="0.3">
      <c r="A346" s="1">
        <v>44940</v>
      </c>
      <c r="B346" t="s">
        <v>11</v>
      </c>
      <c r="C346" t="s">
        <v>17</v>
      </c>
      <c r="D346" t="s">
        <v>33</v>
      </c>
      <c r="E346" t="s">
        <v>62</v>
      </c>
      <c r="F346" t="s">
        <v>71</v>
      </c>
      <c r="G346" s="2">
        <v>4</v>
      </c>
      <c r="H346" s="2">
        <v>57519</v>
      </c>
      <c r="I346" s="2">
        <v>230076</v>
      </c>
      <c r="J346" t="s">
        <v>73</v>
      </c>
      <c r="K346" s="2"/>
    </row>
    <row r="347" spans="1:11" x14ac:dyDescent="0.3">
      <c r="A347" s="1">
        <v>45275</v>
      </c>
      <c r="B347" t="s">
        <v>13</v>
      </c>
      <c r="C347" t="s">
        <v>28</v>
      </c>
      <c r="D347" t="s">
        <v>48</v>
      </c>
      <c r="E347" t="s">
        <v>61</v>
      </c>
      <c r="F347" t="s">
        <v>69</v>
      </c>
      <c r="G347" s="2">
        <v>2</v>
      </c>
      <c r="H347" s="2">
        <v>46292</v>
      </c>
      <c r="I347" s="2">
        <v>92584</v>
      </c>
      <c r="J347" t="s">
        <v>77</v>
      </c>
      <c r="K347" s="2"/>
    </row>
    <row r="348" spans="1:11" x14ac:dyDescent="0.3">
      <c r="A348" s="1">
        <v>44997</v>
      </c>
      <c r="B348" t="s">
        <v>13</v>
      </c>
      <c r="C348" t="s">
        <v>28</v>
      </c>
      <c r="D348" t="s">
        <v>48</v>
      </c>
      <c r="E348" t="s">
        <v>57</v>
      </c>
      <c r="F348" t="s">
        <v>71</v>
      </c>
      <c r="G348" s="2">
        <v>7</v>
      </c>
      <c r="H348" s="2">
        <v>1521</v>
      </c>
      <c r="I348" s="2">
        <v>10647</v>
      </c>
      <c r="J348" t="s">
        <v>79</v>
      </c>
      <c r="K348" s="2"/>
    </row>
    <row r="349" spans="1:11" x14ac:dyDescent="0.3">
      <c r="A349" s="1">
        <v>45129</v>
      </c>
      <c r="B349" t="s">
        <v>13</v>
      </c>
      <c r="C349" t="s">
        <v>20</v>
      </c>
      <c r="D349" t="s">
        <v>36</v>
      </c>
      <c r="E349" t="s">
        <v>64</v>
      </c>
      <c r="F349" t="s">
        <v>69</v>
      </c>
      <c r="G349" s="2">
        <v>6</v>
      </c>
      <c r="H349" s="2">
        <v>48021</v>
      </c>
      <c r="I349" s="2">
        <v>288126</v>
      </c>
      <c r="J349" t="s">
        <v>73</v>
      </c>
      <c r="K349" s="2"/>
    </row>
    <row r="350" spans="1:11" x14ac:dyDescent="0.3">
      <c r="A350" s="1">
        <v>45052</v>
      </c>
      <c r="B350" t="s">
        <v>11</v>
      </c>
      <c r="C350" t="s">
        <v>24</v>
      </c>
      <c r="D350" t="s">
        <v>44</v>
      </c>
      <c r="E350" t="s">
        <v>55</v>
      </c>
      <c r="F350" t="s">
        <v>70</v>
      </c>
      <c r="G350" s="2">
        <v>6</v>
      </c>
      <c r="H350" s="2">
        <v>48109</v>
      </c>
      <c r="I350" s="2">
        <v>288654</v>
      </c>
      <c r="J350" t="s">
        <v>73</v>
      </c>
      <c r="K350" s="2"/>
    </row>
    <row r="351" spans="1:11" x14ac:dyDescent="0.3">
      <c r="A351" s="1">
        <v>45040</v>
      </c>
      <c r="B351" t="s">
        <v>11</v>
      </c>
      <c r="C351" t="s">
        <v>24</v>
      </c>
      <c r="D351" t="s">
        <v>44</v>
      </c>
      <c r="E351" t="s">
        <v>65</v>
      </c>
      <c r="F351" t="s">
        <v>72</v>
      </c>
      <c r="G351" s="2">
        <v>6</v>
      </c>
      <c r="H351" s="2">
        <v>1082</v>
      </c>
      <c r="I351" s="2">
        <v>6492</v>
      </c>
      <c r="J351" t="s">
        <v>73</v>
      </c>
      <c r="K351" s="2"/>
    </row>
    <row r="352" spans="1:11" x14ac:dyDescent="0.3">
      <c r="A352" s="1">
        <v>45223</v>
      </c>
      <c r="B352" t="s">
        <v>13</v>
      </c>
      <c r="C352" t="s">
        <v>25</v>
      </c>
      <c r="D352" t="s">
        <v>46</v>
      </c>
      <c r="E352" t="s">
        <v>57</v>
      </c>
      <c r="F352" t="s">
        <v>71</v>
      </c>
      <c r="G352" s="2">
        <v>9</v>
      </c>
      <c r="H352" s="2">
        <v>41045</v>
      </c>
      <c r="I352" s="2">
        <v>369405</v>
      </c>
      <c r="J352" t="s">
        <v>78</v>
      </c>
      <c r="K352" s="2"/>
    </row>
    <row r="353" spans="1:11" x14ac:dyDescent="0.3">
      <c r="A353" s="1">
        <v>45047</v>
      </c>
      <c r="B353" t="s">
        <v>13</v>
      </c>
      <c r="C353" t="s">
        <v>20</v>
      </c>
      <c r="D353" t="s">
        <v>36</v>
      </c>
      <c r="E353" t="s">
        <v>61</v>
      </c>
      <c r="F353" t="s">
        <v>69</v>
      </c>
      <c r="G353" s="2">
        <v>4</v>
      </c>
      <c r="H353" s="2">
        <v>43486</v>
      </c>
      <c r="I353" s="2">
        <v>173944</v>
      </c>
      <c r="J353" t="s">
        <v>80</v>
      </c>
      <c r="K353" s="2"/>
    </row>
    <row r="354" spans="1:11" x14ac:dyDescent="0.3">
      <c r="A354" s="1">
        <v>44934</v>
      </c>
      <c r="B354" t="s">
        <v>10</v>
      </c>
      <c r="C354" t="s">
        <v>27</v>
      </c>
      <c r="D354" t="s">
        <v>49</v>
      </c>
      <c r="E354" t="s">
        <v>60</v>
      </c>
      <c r="F354" t="s">
        <v>71</v>
      </c>
      <c r="G354" s="2">
        <v>2</v>
      </c>
      <c r="H354" s="2">
        <v>48666</v>
      </c>
      <c r="I354" s="2">
        <v>97332</v>
      </c>
      <c r="J354" t="s">
        <v>75</v>
      </c>
      <c r="K354" s="2"/>
    </row>
    <row r="355" spans="1:11" x14ac:dyDescent="0.3">
      <c r="A355" s="1">
        <v>45209</v>
      </c>
      <c r="B355" t="s">
        <v>12</v>
      </c>
      <c r="C355" t="s">
        <v>22</v>
      </c>
      <c r="D355" t="s">
        <v>40</v>
      </c>
      <c r="E355" t="s">
        <v>62</v>
      </c>
      <c r="F355" t="s">
        <v>71</v>
      </c>
      <c r="G355" s="2">
        <v>4</v>
      </c>
      <c r="H355" s="2">
        <v>14071</v>
      </c>
      <c r="I355" s="2">
        <v>56284</v>
      </c>
      <c r="J355" t="s">
        <v>78</v>
      </c>
      <c r="K355" s="2"/>
    </row>
    <row r="356" spans="1:11" x14ac:dyDescent="0.3">
      <c r="A356" s="1">
        <v>45241</v>
      </c>
      <c r="B356" t="s">
        <v>13</v>
      </c>
      <c r="C356" t="s">
        <v>28</v>
      </c>
      <c r="D356" t="s">
        <v>48</v>
      </c>
      <c r="E356" t="s">
        <v>67</v>
      </c>
      <c r="F356" t="s">
        <v>72</v>
      </c>
      <c r="G356" s="2">
        <v>7</v>
      </c>
      <c r="H356" s="2">
        <v>23791</v>
      </c>
      <c r="I356" s="2">
        <v>166537</v>
      </c>
      <c r="J356" t="s">
        <v>75</v>
      </c>
      <c r="K356" s="2"/>
    </row>
    <row r="357" spans="1:11" x14ac:dyDescent="0.3">
      <c r="A357" s="1">
        <v>45057</v>
      </c>
      <c r="B357" t="s">
        <v>11</v>
      </c>
      <c r="C357" t="s">
        <v>24</v>
      </c>
      <c r="D357" t="s">
        <v>44</v>
      </c>
      <c r="E357" t="s">
        <v>68</v>
      </c>
      <c r="F357" t="s">
        <v>69</v>
      </c>
      <c r="G357" s="2">
        <v>2</v>
      </c>
      <c r="H357" s="2">
        <v>24357</v>
      </c>
      <c r="I357" s="2">
        <v>48714</v>
      </c>
      <c r="J357" t="s">
        <v>78</v>
      </c>
      <c r="K357" s="2"/>
    </row>
    <row r="358" spans="1:11" x14ac:dyDescent="0.3">
      <c r="A358" s="1">
        <v>45065</v>
      </c>
      <c r="B358" t="s">
        <v>13</v>
      </c>
      <c r="C358" t="s">
        <v>20</v>
      </c>
      <c r="D358" t="s">
        <v>36</v>
      </c>
      <c r="E358" t="s">
        <v>55</v>
      </c>
      <c r="F358" t="s">
        <v>70</v>
      </c>
      <c r="G358" s="2">
        <v>6</v>
      </c>
      <c r="H358" s="2">
        <v>39982</v>
      </c>
      <c r="I358" s="2">
        <v>239892</v>
      </c>
      <c r="J358" t="s">
        <v>76</v>
      </c>
      <c r="K358" s="2"/>
    </row>
    <row r="359" spans="1:11" x14ac:dyDescent="0.3">
      <c r="A359" s="1">
        <v>44940</v>
      </c>
      <c r="B359" t="s">
        <v>10</v>
      </c>
      <c r="C359" t="s">
        <v>15</v>
      </c>
      <c r="D359" t="s">
        <v>31</v>
      </c>
      <c r="E359" t="s">
        <v>56</v>
      </c>
      <c r="F359" t="s">
        <v>70</v>
      </c>
      <c r="G359" s="2">
        <v>1</v>
      </c>
      <c r="H359" s="2">
        <v>32419</v>
      </c>
      <c r="I359" s="2">
        <v>32419</v>
      </c>
      <c r="J359" t="s">
        <v>75</v>
      </c>
      <c r="K359" s="2"/>
    </row>
    <row r="360" spans="1:11" x14ac:dyDescent="0.3">
      <c r="A360" s="1">
        <v>45204</v>
      </c>
      <c r="B360" t="s">
        <v>12</v>
      </c>
      <c r="C360" t="s">
        <v>21</v>
      </c>
      <c r="D360" t="s">
        <v>37</v>
      </c>
      <c r="E360" t="s">
        <v>68</v>
      </c>
      <c r="F360" t="s">
        <v>69</v>
      </c>
      <c r="G360" s="2">
        <v>5</v>
      </c>
      <c r="H360" s="2">
        <v>7661</v>
      </c>
      <c r="I360" s="2">
        <v>38305</v>
      </c>
      <c r="J360" t="s">
        <v>77</v>
      </c>
      <c r="K360" s="2"/>
    </row>
    <row r="361" spans="1:11" x14ac:dyDescent="0.3">
      <c r="A361" s="1">
        <v>45219</v>
      </c>
      <c r="B361" t="s">
        <v>11</v>
      </c>
      <c r="C361" t="s">
        <v>24</v>
      </c>
      <c r="D361" t="s">
        <v>44</v>
      </c>
      <c r="E361" t="s">
        <v>65</v>
      </c>
      <c r="F361" t="s">
        <v>72</v>
      </c>
      <c r="G361" s="2">
        <v>6</v>
      </c>
      <c r="H361" s="2">
        <v>20945</v>
      </c>
      <c r="I361" s="2">
        <v>125670</v>
      </c>
      <c r="J361" t="s">
        <v>78</v>
      </c>
      <c r="K361" s="2"/>
    </row>
    <row r="362" spans="1:11" x14ac:dyDescent="0.3">
      <c r="A362" s="1">
        <v>45168</v>
      </c>
      <c r="B362" t="s">
        <v>10</v>
      </c>
      <c r="C362" t="s">
        <v>15</v>
      </c>
      <c r="D362" t="s">
        <v>31</v>
      </c>
      <c r="E362" t="s">
        <v>56</v>
      </c>
      <c r="F362" t="s">
        <v>70</v>
      </c>
      <c r="G362" s="2">
        <v>5</v>
      </c>
      <c r="H362" s="2">
        <v>12669</v>
      </c>
      <c r="I362" s="2">
        <v>63345</v>
      </c>
      <c r="J362" t="s">
        <v>74</v>
      </c>
      <c r="K362" s="2"/>
    </row>
    <row r="363" spans="1:11" x14ac:dyDescent="0.3">
      <c r="A363" s="1">
        <v>45090</v>
      </c>
      <c r="B363" t="s">
        <v>13</v>
      </c>
      <c r="C363" t="s">
        <v>19</v>
      </c>
      <c r="D363" t="s">
        <v>35</v>
      </c>
      <c r="E363" t="s">
        <v>55</v>
      </c>
      <c r="F363" t="s">
        <v>70</v>
      </c>
      <c r="G363" s="2">
        <v>1</v>
      </c>
      <c r="H363" s="2">
        <v>37019</v>
      </c>
      <c r="I363" s="2">
        <v>37019</v>
      </c>
      <c r="J363" t="s">
        <v>77</v>
      </c>
      <c r="K363" s="2"/>
    </row>
    <row r="364" spans="1:11" x14ac:dyDescent="0.3">
      <c r="A364" s="1">
        <v>44996</v>
      </c>
      <c r="B364" t="s">
        <v>13</v>
      </c>
      <c r="C364" t="s">
        <v>25</v>
      </c>
      <c r="D364" t="s">
        <v>45</v>
      </c>
      <c r="E364" t="s">
        <v>61</v>
      </c>
      <c r="F364" t="s">
        <v>69</v>
      </c>
      <c r="G364" s="2">
        <v>1</v>
      </c>
      <c r="H364" s="2">
        <v>59282</v>
      </c>
      <c r="I364" s="2">
        <v>59282</v>
      </c>
      <c r="J364" t="s">
        <v>79</v>
      </c>
      <c r="K364" s="2"/>
    </row>
    <row r="365" spans="1:11" x14ac:dyDescent="0.3">
      <c r="A365" s="1">
        <v>45256</v>
      </c>
      <c r="B365" t="s">
        <v>12</v>
      </c>
      <c r="C365" t="s">
        <v>21</v>
      </c>
      <c r="D365" t="s">
        <v>38</v>
      </c>
      <c r="E365" t="s">
        <v>61</v>
      </c>
      <c r="F365" t="s">
        <v>69</v>
      </c>
      <c r="G365" s="2">
        <v>10</v>
      </c>
      <c r="H365" s="2">
        <v>52000</v>
      </c>
      <c r="I365" s="2">
        <v>520000</v>
      </c>
      <c r="J365" t="s">
        <v>77</v>
      </c>
      <c r="K365" s="2"/>
    </row>
    <row r="366" spans="1:11" x14ac:dyDescent="0.3">
      <c r="A366" s="1">
        <v>45093</v>
      </c>
      <c r="B366" t="s">
        <v>13</v>
      </c>
      <c r="C366" t="s">
        <v>25</v>
      </c>
      <c r="D366" t="s">
        <v>46</v>
      </c>
      <c r="E366" t="s">
        <v>60</v>
      </c>
      <c r="F366" t="s">
        <v>71</v>
      </c>
      <c r="G366" s="2">
        <v>7</v>
      </c>
      <c r="H366" s="2">
        <v>22472</v>
      </c>
      <c r="I366" s="2">
        <v>157304</v>
      </c>
      <c r="J366" t="s">
        <v>76</v>
      </c>
      <c r="K366" s="2"/>
    </row>
    <row r="367" spans="1:11" x14ac:dyDescent="0.3">
      <c r="A367" s="1">
        <v>44972</v>
      </c>
      <c r="B367" t="s">
        <v>10</v>
      </c>
      <c r="C367" t="s">
        <v>15</v>
      </c>
      <c r="D367" t="s">
        <v>39</v>
      </c>
      <c r="E367" t="s">
        <v>65</v>
      </c>
      <c r="F367" t="s">
        <v>72</v>
      </c>
      <c r="G367" s="2">
        <v>2</v>
      </c>
      <c r="H367" s="2">
        <v>20722</v>
      </c>
      <c r="I367" s="2">
        <v>41444</v>
      </c>
      <c r="J367" t="s">
        <v>75</v>
      </c>
      <c r="K367" s="2"/>
    </row>
    <row r="368" spans="1:11" x14ac:dyDescent="0.3">
      <c r="A368" s="1">
        <v>45267</v>
      </c>
      <c r="B368" t="s">
        <v>11</v>
      </c>
      <c r="C368" t="s">
        <v>16</v>
      </c>
      <c r="D368" t="s">
        <v>32</v>
      </c>
      <c r="E368" t="s">
        <v>60</v>
      </c>
      <c r="F368" t="s">
        <v>71</v>
      </c>
      <c r="G368" s="2">
        <v>8</v>
      </c>
      <c r="H368" s="2">
        <v>4363</v>
      </c>
      <c r="I368" s="2">
        <v>34904</v>
      </c>
      <c r="J368" t="s">
        <v>78</v>
      </c>
      <c r="K368" s="2"/>
    </row>
    <row r="369" spans="1:11" x14ac:dyDescent="0.3">
      <c r="A369" s="1">
        <v>45048</v>
      </c>
      <c r="B369" t="s">
        <v>10</v>
      </c>
      <c r="C369" t="s">
        <v>15</v>
      </c>
      <c r="D369" t="s">
        <v>31</v>
      </c>
      <c r="E369" t="s">
        <v>57</v>
      </c>
      <c r="F369" t="s">
        <v>71</v>
      </c>
      <c r="G369" s="2">
        <v>6</v>
      </c>
      <c r="H369" s="2">
        <v>16392</v>
      </c>
      <c r="I369" s="2">
        <v>98352</v>
      </c>
      <c r="J369" t="s">
        <v>73</v>
      </c>
      <c r="K369" s="2"/>
    </row>
    <row r="370" spans="1:11" x14ac:dyDescent="0.3">
      <c r="A370" s="1">
        <v>45034</v>
      </c>
      <c r="B370" t="s">
        <v>13</v>
      </c>
      <c r="C370" t="s">
        <v>19</v>
      </c>
      <c r="D370" t="s">
        <v>41</v>
      </c>
      <c r="E370" t="s">
        <v>67</v>
      </c>
      <c r="F370" t="s">
        <v>72</v>
      </c>
      <c r="G370" s="2">
        <v>9</v>
      </c>
      <c r="H370" s="2">
        <v>35738</v>
      </c>
      <c r="I370" s="2">
        <v>321642</v>
      </c>
      <c r="J370" t="s">
        <v>79</v>
      </c>
      <c r="K370" s="2"/>
    </row>
    <row r="371" spans="1:11" x14ac:dyDescent="0.3">
      <c r="A371" s="1">
        <v>45088</v>
      </c>
      <c r="B371" t="s">
        <v>13</v>
      </c>
      <c r="C371" t="s">
        <v>25</v>
      </c>
      <c r="D371" t="s">
        <v>45</v>
      </c>
      <c r="E371" t="s">
        <v>65</v>
      </c>
      <c r="F371" t="s">
        <v>72</v>
      </c>
      <c r="G371" s="2">
        <v>2</v>
      </c>
      <c r="H371" s="2">
        <v>15219</v>
      </c>
      <c r="I371" s="2">
        <v>30438</v>
      </c>
      <c r="J371" t="s">
        <v>78</v>
      </c>
      <c r="K371" s="2"/>
    </row>
    <row r="372" spans="1:11" x14ac:dyDescent="0.3">
      <c r="A372" s="1">
        <v>45229</v>
      </c>
      <c r="B372" t="s">
        <v>11</v>
      </c>
      <c r="C372" t="s">
        <v>24</v>
      </c>
      <c r="D372" t="s">
        <v>44</v>
      </c>
      <c r="E372" t="s">
        <v>68</v>
      </c>
      <c r="F372" t="s">
        <v>69</v>
      </c>
      <c r="G372" s="2">
        <v>6</v>
      </c>
      <c r="H372" s="2">
        <v>12934</v>
      </c>
      <c r="I372" s="2">
        <v>77604</v>
      </c>
      <c r="J372" t="s">
        <v>73</v>
      </c>
      <c r="K372" s="2"/>
    </row>
    <row r="373" spans="1:11" x14ac:dyDescent="0.3">
      <c r="A373" s="1">
        <v>45077</v>
      </c>
      <c r="B373" t="s">
        <v>10</v>
      </c>
      <c r="C373" t="s">
        <v>14</v>
      </c>
      <c r="D373" t="s">
        <v>30</v>
      </c>
      <c r="E373" t="s">
        <v>65</v>
      </c>
      <c r="F373" t="s">
        <v>72</v>
      </c>
      <c r="G373" s="2">
        <v>3</v>
      </c>
      <c r="H373" s="2">
        <v>3986</v>
      </c>
      <c r="I373" s="2">
        <v>11958</v>
      </c>
      <c r="J373" t="s">
        <v>76</v>
      </c>
      <c r="K373" s="2"/>
    </row>
    <row r="374" spans="1:11" x14ac:dyDescent="0.3">
      <c r="A374" s="1">
        <v>44971</v>
      </c>
      <c r="B374" t="s">
        <v>12</v>
      </c>
      <c r="C374" t="s">
        <v>18</v>
      </c>
      <c r="D374" t="s">
        <v>43</v>
      </c>
      <c r="E374" t="s">
        <v>68</v>
      </c>
      <c r="F374" t="s">
        <v>69</v>
      </c>
      <c r="G374" s="2">
        <v>7</v>
      </c>
      <c r="H374" s="2">
        <v>41776</v>
      </c>
      <c r="I374" s="2">
        <v>292432</v>
      </c>
      <c r="J374" t="s">
        <v>77</v>
      </c>
      <c r="K374" s="2"/>
    </row>
    <row r="375" spans="1:11" x14ac:dyDescent="0.3">
      <c r="A375" s="1">
        <v>45257</v>
      </c>
      <c r="B375" t="s">
        <v>10</v>
      </c>
      <c r="C375" t="s">
        <v>27</v>
      </c>
      <c r="D375" t="s">
        <v>47</v>
      </c>
      <c r="E375" t="s">
        <v>66</v>
      </c>
      <c r="F375" t="s">
        <v>70</v>
      </c>
      <c r="G375" s="2">
        <v>10</v>
      </c>
      <c r="H375" s="2">
        <v>45806</v>
      </c>
      <c r="I375" s="2">
        <v>458060</v>
      </c>
      <c r="J375" t="s">
        <v>73</v>
      </c>
      <c r="K375" s="2"/>
    </row>
    <row r="376" spans="1:11" x14ac:dyDescent="0.3">
      <c r="A376" s="1">
        <v>45197</v>
      </c>
      <c r="B376" t="s">
        <v>12</v>
      </c>
      <c r="C376" t="s">
        <v>18</v>
      </c>
      <c r="D376" t="s">
        <v>34</v>
      </c>
      <c r="E376" t="s">
        <v>66</v>
      </c>
      <c r="F376" t="s">
        <v>70</v>
      </c>
      <c r="G376" s="2">
        <v>6</v>
      </c>
      <c r="H376" s="2">
        <v>16483</v>
      </c>
      <c r="I376" s="2">
        <v>98898</v>
      </c>
      <c r="J376" t="s">
        <v>74</v>
      </c>
      <c r="K376" s="2"/>
    </row>
    <row r="377" spans="1:11" x14ac:dyDescent="0.3">
      <c r="A377" s="1">
        <v>45277</v>
      </c>
      <c r="B377" t="s">
        <v>11</v>
      </c>
      <c r="C377" t="s">
        <v>29</v>
      </c>
      <c r="D377" t="s">
        <v>50</v>
      </c>
      <c r="E377" t="s">
        <v>66</v>
      </c>
      <c r="F377" t="s">
        <v>70</v>
      </c>
      <c r="G377" s="2">
        <v>6</v>
      </c>
      <c r="H377" s="2">
        <v>5848</v>
      </c>
      <c r="I377" s="2">
        <v>35088</v>
      </c>
      <c r="J377" t="s">
        <v>79</v>
      </c>
      <c r="K377" s="2"/>
    </row>
    <row r="378" spans="1:11" x14ac:dyDescent="0.3">
      <c r="A378" s="1">
        <v>44950</v>
      </c>
      <c r="B378" t="s">
        <v>13</v>
      </c>
      <c r="C378" t="s">
        <v>25</v>
      </c>
      <c r="D378" t="s">
        <v>46</v>
      </c>
      <c r="E378" t="s">
        <v>55</v>
      </c>
      <c r="F378" t="s">
        <v>70</v>
      </c>
      <c r="G378" s="2">
        <v>1</v>
      </c>
      <c r="H378" s="2">
        <v>46858</v>
      </c>
      <c r="I378" s="2">
        <v>46858</v>
      </c>
      <c r="J378" t="s">
        <v>78</v>
      </c>
      <c r="K378" s="2"/>
    </row>
    <row r="379" spans="1:11" x14ac:dyDescent="0.3">
      <c r="A379" s="1">
        <v>44942</v>
      </c>
      <c r="B379" t="s">
        <v>10</v>
      </c>
      <c r="C379" t="s">
        <v>14</v>
      </c>
      <c r="D379" t="s">
        <v>30</v>
      </c>
      <c r="E379" t="s">
        <v>65</v>
      </c>
      <c r="F379" t="s">
        <v>72</v>
      </c>
      <c r="G379" s="2">
        <v>3</v>
      </c>
      <c r="H379" s="2">
        <v>51403</v>
      </c>
      <c r="I379" s="2">
        <v>154209</v>
      </c>
      <c r="J379" t="s">
        <v>75</v>
      </c>
      <c r="K379" s="2"/>
    </row>
    <row r="380" spans="1:11" x14ac:dyDescent="0.3">
      <c r="A380" s="1">
        <v>44950</v>
      </c>
      <c r="B380" t="s">
        <v>13</v>
      </c>
      <c r="C380" t="s">
        <v>28</v>
      </c>
      <c r="D380" t="s">
        <v>51</v>
      </c>
      <c r="E380" t="s">
        <v>57</v>
      </c>
      <c r="F380" t="s">
        <v>71</v>
      </c>
      <c r="G380" s="2">
        <v>6</v>
      </c>
      <c r="H380" s="2">
        <v>12562</v>
      </c>
      <c r="I380" s="2">
        <v>75372</v>
      </c>
      <c r="J380" t="s">
        <v>79</v>
      </c>
      <c r="K380" s="2"/>
    </row>
    <row r="381" spans="1:11" x14ac:dyDescent="0.3">
      <c r="A381" s="1">
        <v>45215</v>
      </c>
      <c r="B381" t="s">
        <v>12</v>
      </c>
      <c r="C381" t="s">
        <v>22</v>
      </c>
      <c r="D381" t="s">
        <v>40</v>
      </c>
      <c r="E381" t="s">
        <v>63</v>
      </c>
      <c r="F381" t="s">
        <v>72</v>
      </c>
      <c r="G381" s="2">
        <v>8</v>
      </c>
      <c r="H381" s="2">
        <v>55004</v>
      </c>
      <c r="I381" s="2">
        <v>440032</v>
      </c>
      <c r="J381" t="s">
        <v>79</v>
      </c>
      <c r="K381" s="2"/>
    </row>
    <row r="382" spans="1:11" x14ac:dyDescent="0.3">
      <c r="A382" s="1">
        <v>44943</v>
      </c>
      <c r="B382" t="s">
        <v>12</v>
      </c>
      <c r="C382" t="s">
        <v>23</v>
      </c>
      <c r="D382" t="s">
        <v>53</v>
      </c>
      <c r="E382" t="s">
        <v>56</v>
      </c>
      <c r="F382" t="s">
        <v>70</v>
      </c>
      <c r="G382" s="2">
        <v>4</v>
      </c>
      <c r="H382" s="2">
        <v>20278</v>
      </c>
      <c r="I382" s="2">
        <v>81112</v>
      </c>
      <c r="J382" t="s">
        <v>73</v>
      </c>
      <c r="K382" s="2"/>
    </row>
    <row r="383" spans="1:11" x14ac:dyDescent="0.3">
      <c r="A383" s="1">
        <v>44962</v>
      </c>
      <c r="B383" t="s">
        <v>10</v>
      </c>
      <c r="C383" t="s">
        <v>14</v>
      </c>
      <c r="D383" t="s">
        <v>52</v>
      </c>
      <c r="E383" t="s">
        <v>66</v>
      </c>
      <c r="F383" t="s">
        <v>70</v>
      </c>
      <c r="G383" s="2">
        <v>9</v>
      </c>
      <c r="H383" s="2">
        <v>11373</v>
      </c>
      <c r="I383" s="2">
        <v>102357</v>
      </c>
      <c r="J383" t="s">
        <v>80</v>
      </c>
      <c r="K383" s="2"/>
    </row>
    <row r="384" spans="1:11" x14ac:dyDescent="0.3">
      <c r="A384" s="1">
        <v>44964</v>
      </c>
      <c r="B384" t="s">
        <v>10</v>
      </c>
      <c r="C384" t="s">
        <v>14</v>
      </c>
      <c r="D384" t="s">
        <v>52</v>
      </c>
      <c r="E384" t="s">
        <v>62</v>
      </c>
      <c r="F384" t="s">
        <v>71</v>
      </c>
      <c r="G384" s="2">
        <v>5</v>
      </c>
      <c r="H384" s="2">
        <v>46683</v>
      </c>
      <c r="I384" s="2">
        <v>233415</v>
      </c>
      <c r="J384" t="s">
        <v>79</v>
      </c>
      <c r="K384" s="2"/>
    </row>
    <row r="385" spans="1:11" x14ac:dyDescent="0.3">
      <c r="A385" s="1">
        <v>45263</v>
      </c>
      <c r="B385" t="s">
        <v>13</v>
      </c>
      <c r="C385" t="s">
        <v>28</v>
      </c>
      <c r="D385" t="s">
        <v>51</v>
      </c>
      <c r="E385" t="s">
        <v>58</v>
      </c>
      <c r="F385" t="s">
        <v>72</v>
      </c>
      <c r="G385" s="2">
        <v>2</v>
      </c>
      <c r="H385" s="2">
        <v>54686</v>
      </c>
      <c r="I385" s="2">
        <v>109372</v>
      </c>
      <c r="J385" t="s">
        <v>74</v>
      </c>
      <c r="K385" s="2"/>
    </row>
    <row r="386" spans="1:11" x14ac:dyDescent="0.3">
      <c r="A386" s="1">
        <v>45279</v>
      </c>
      <c r="B386" t="s">
        <v>10</v>
      </c>
      <c r="C386" t="s">
        <v>15</v>
      </c>
      <c r="D386" t="s">
        <v>39</v>
      </c>
      <c r="E386" t="s">
        <v>57</v>
      </c>
      <c r="F386" t="s">
        <v>71</v>
      </c>
      <c r="G386" s="2">
        <v>8</v>
      </c>
      <c r="H386" s="2">
        <v>38582</v>
      </c>
      <c r="I386" s="2">
        <v>308656</v>
      </c>
      <c r="J386" t="s">
        <v>73</v>
      </c>
      <c r="K386" s="2"/>
    </row>
    <row r="387" spans="1:11" x14ac:dyDescent="0.3">
      <c r="A387" s="1">
        <v>45151</v>
      </c>
      <c r="B387" t="s">
        <v>13</v>
      </c>
      <c r="C387" t="s">
        <v>20</v>
      </c>
      <c r="D387" t="s">
        <v>36</v>
      </c>
      <c r="E387" t="s">
        <v>64</v>
      </c>
      <c r="F387" t="s">
        <v>69</v>
      </c>
      <c r="G387" s="2">
        <v>10</v>
      </c>
      <c r="H387" s="2">
        <v>48471</v>
      </c>
      <c r="I387" s="2">
        <v>484710</v>
      </c>
      <c r="J387" t="s">
        <v>76</v>
      </c>
      <c r="K387" s="2"/>
    </row>
    <row r="388" spans="1:11" x14ac:dyDescent="0.3">
      <c r="A388" s="1">
        <v>45182</v>
      </c>
      <c r="B388" t="s">
        <v>11</v>
      </c>
      <c r="C388" t="s">
        <v>16</v>
      </c>
      <c r="D388" t="s">
        <v>32</v>
      </c>
      <c r="E388" t="s">
        <v>67</v>
      </c>
      <c r="F388" t="s">
        <v>72</v>
      </c>
      <c r="G388" s="2">
        <v>4</v>
      </c>
      <c r="H388" s="2">
        <v>7297</v>
      </c>
      <c r="I388" s="2">
        <v>29188</v>
      </c>
      <c r="J388" t="s">
        <v>73</v>
      </c>
      <c r="K388" s="2"/>
    </row>
    <row r="389" spans="1:11" x14ac:dyDescent="0.3">
      <c r="A389" s="1">
        <v>44929</v>
      </c>
      <c r="B389" t="s">
        <v>11</v>
      </c>
      <c r="C389" t="s">
        <v>17</v>
      </c>
      <c r="D389" t="s">
        <v>33</v>
      </c>
      <c r="E389" t="s">
        <v>56</v>
      </c>
      <c r="F389" t="s">
        <v>70</v>
      </c>
      <c r="G389" s="2">
        <v>6</v>
      </c>
      <c r="H389" s="2">
        <v>39526</v>
      </c>
      <c r="I389" s="2">
        <v>237156</v>
      </c>
      <c r="J389" t="s">
        <v>75</v>
      </c>
      <c r="K389" s="2"/>
    </row>
    <row r="390" spans="1:11" x14ac:dyDescent="0.3">
      <c r="A390" s="1">
        <v>45026</v>
      </c>
      <c r="B390" t="s">
        <v>11</v>
      </c>
      <c r="C390" t="s">
        <v>24</v>
      </c>
      <c r="D390" t="s">
        <v>44</v>
      </c>
      <c r="E390" t="s">
        <v>67</v>
      </c>
      <c r="F390" t="s">
        <v>72</v>
      </c>
      <c r="G390" s="2">
        <v>8</v>
      </c>
      <c r="H390" s="2">
        <v>18834</v>
      </c>
      <c r="I390" s="2">
        <v>150672</v>
      </c>
      <c r="J390" t="s">
        <v>78</v>
      </c>
      <c r="K390" s="2"/>
    </row>
    <row r="391" spans="1:11" x14ac:dyDescent="0.3">
      <c r="A391" s="1">
        <v>45100</v>
      </c>
      <c r="B391" t="s">
        <v>10</v>
      </c>
      <c r="C391" t="s">
        <v>14</v>
      </c>
      <c r="D391" t="s">
        <v>52</v>
      </c>
      <c r="E391" t="s">
        <v>56</v>
      </c>
      <c r="F391" t="s">
        <v>70</v>
      </c>
      <c r="G391" s="2">
        <v>1</v>
      </c>
      <c r="H391" s="2">
        <v>6432</v>
      </c>
      <c r="I391" s="2">
        <v>6432</v>
      </c>
      <c r="J391" t="s">
        <v>79</v>
      </c>
      <c r="K391" s="2"/>
    </row>
    <row r="392" spans="1:11" x14ac:dyDescent="0.3">
      <c r="A392" s="1">
        <v>44985</v>
      </c>
      <c r="B392" t="s">
        <v>12</v>
      </c>
      <c r="C392" t="s">
        <v>18</v>
      </c>
      <c r="D392" t="s">
        <v>43</v>
      </c>
      <c r="E392" t="s">
        <v>58</v>
      </c>
      <c r="F392" t="s">
        <v>72</v>
      </c>
      <c r="G392" s="2">
        <v>8</v>
      </c>
      <c r="H392" s="2">
        <v>35861</v>
      </c>
      <c r="I392" s="2">
        <v>286888</v>
      </c>
      <c r="J392" t="s">
        <v>78</v>
      </c>
      <c r="K392" s="2"/>
    </row>
    <row r="393" spans="1:11" x14ac:dyDescent="0.3">
      <c r="A393" s="1">
        <v>45142</v>
      </c>
      <c r="B393" t="s">
        <v>10</v>
      </c>
      <c r="C393" t="s">
        <v>15</v>
      </c>
      <c r="D393" t="s">
        <v>39</v>
      </c>
      <c r="E393" t="s">
        <v>57</v>
      </c>
      <c r="F393" t="s">
        <v>71</v>
      </c>
      <c r="G393" s="2">
        <v>6</v>
      </c>
      <c r="H393" s="2">
        <v>34894</v>
      </c>
      <c r="I393" s="2">
        <v>209364</v>
      </c>
      <c r="J393" t="s">
        <v>78</v>
      </c>
      <c r="K393" s="2"/>
    </row>
    <row r="394" spans="1:11" x14ac:dyDescent="0.3">
      <c r="A394" s="1">
        <v>45109</v>
      </c>
      <c r="B394" t="s">
        <v>11</v>
      </c>
      <c r="C394" t="s">
        <v>29</v>
      </c>
      <c r="D394" t="s">
        <v>50</v>
      </c>
      <c r="E394" t="s">
        <v>66</v>
      </c>
      <c r="F394" t="s">
        <v>70</v>
      </c>
      <c r="G394" s="2">
        <v>7</v>
      </c>
      <c r="H394" s="2">
        <v>22774</v>
      </c>
      <c r="I394" s="2">
        <v>159418</v>
      </c>
      <c r="J394" t="s">
        <v>75</v>
      </c>
      <c r="K394" s="2"/>
    </row>
    <row r="395" spans="1:11" x14ac:dyDescent="0.3">
      <c r="A395" s="1">
        <v>44962</v>
      </c>
      <c r="B395" t="s">
        <v>11</v>
      </c>
      <c r="C395" t="s">
        <v>24</v>
      </c>
      <c r="D395" t="s">
        <v>44</v>
      </c>
      <c r="E395" t="s">
        <v>55</v>
      </c>
      <c r="F395" t="s">
        <v>70</v>
      </c>
      <c r="G395" s="2">
        <v>3</v>
      </c>
      <c r="H395" s="2">
        <v>43311</v>
      </c>
      <c r="I395" s="2">
        <v>129933</v>
      </c>
      <c r="J395" t="s">
        <v>73</v>
      </c>
      <c r="K395" s="2"/>
    </row>
    <row r="396" spans="1:11" x14ac:dyDescent="0.3">
      <c r="A396" s="1">
        <v>44981</v>
      </c>
      <c r="B396" t="s">
        <v>11</v>
      </c>
      <c r="C396" t="s">
        <v>24</v>
      </c>
      <c r="D396" t="s">
        <v>44</v>
      </c>
      <c r="E396" t="s">
        <v>68</v>
      </c>
      <c r="F396" t="s">
        <v>69</v>
      </c>
      <c r="G396" s="2">
        <v>6</v>
      </c>
      <c r="H396" s="2">
        <v>50221</v>
      </c>
      <c r="I396" s="2">
        <v>301326</v>
      </c>
      <c r="J396" t="s">
        <v>78</v>
      </c>
      <c r="K396" s="2"/>
    </row>
    <row r="397" spans="1:11" x14ac:dyDescent="0.3">
      <c r="A397" s="1">
        <v>45240</v>
      </c>
      <c r="B397" t="s">
        <v>11</v>
      </c>
      <c r="C397" t="s">
        <v>17</v>
      </c>
      <c r="D397" t="s">
        <v>33</v>
      </c>
      <c r="E397" t="s">
        <v>54</v>
      </c>
      <c r="F397" t="s">
        <v>69</v>
      </c>
      <c r="G397" s="2">
        <v>8</v>
      </c>
      <c r="H397" s="2">
        <v>10474</v>
      </c>
      <c r="I397" s="2">
        <v>83792</v>
      </c>
      <c r="J397" t="s">
        <v>73</v>
      </c>
      <c r="K397" s="2"/>
    </row>
    <row r="398" spans="1:11" x14ac:dyDescent="0.3">
      <c r="A398" s="1">
        <v>44991</v>
      </c>
      <c r="B398" t="s">
        <v>12</v>
      </c>
      <c r="C398" t="s">
        <v>21</v>
      </c>
      <c r="D398" t="s">
        <v>37</v>
      </c>
      <c r="E398" t="s">
        <v>65</v>
      </c>
      <c r="F398" t="s">
        <v>72</v>
      </c>
      <c r="G398" s="2">
        <v>4</v>
      </c>
      <c r="H398" s="2">
        <v>34018</v>
      </c>
      <c r="I398" s="2">
        <v>136072</v>
      </c>
      <c r="J398" t="s">
        <v>73</v>
      </c>
      <c r="K398" s="2"/>
    </row>
    <row r="399" spans="1:11" x14ac:dyDescent="0.3">
      <c r="A399" s="1">
        <v>44978</v>
      </c>
      <c r="B399" t="s">
        <v>13</v>
      </c>
      <c r="C399" t="s">
        <v>28</v>
      </c>
      <c r="D399" t="s">
        <v>51</v>
      </c>
      <c r="E399" t="s">
        <v>59</v>
      </c>
      <c r="F399" t="s">
        <v>71</v>
      </c>
      <c r="G399" s="2">
        <v>7</v>
      </c>
      <c r="H399" s="2">
        <v>1604</v>
      </c>
      <c r="I399" s="2">
        <v>11228</v>
      </c>
      <c r="J399" t="s">
        <v>74</v>
      </c>
      <c r="K399" s="2"/>
    </row>
    <row r="400" spans="1:11" x14ac:dyDescent="0.3">
      <c r="A400" s="1">
        <v>45170</v>
      </c>
      <c r="B400" t="s">
        <v>10</v>
      </c>
      <c r="C400" t="s">
        <v>26</v>
      </c>
      <c r="D400" t="s">
        <v>26</v>
      </c>
      <c r="E400" t="s">
        <v>57</v>
      </c>
      <c r="F400" t="s">
        <v>71</v>
      </c>
      <c r="G400" s="2">
        <v>2</v>
      </c>
      <c r="H400" s="2">
        <v>46964</v>
      </c>
      <c r="I400" s="2">
        <v>93928</v>
      </c>
      <c r="J400" t="s">
        <v>78</v>
      </c>
      <c r="K400" s="2"/>
    </row>
    <row r="401" spans="1:11" x14ac:dyDescent="0.3">
      <c r="A401" s="1">
        <v>45008</v>
      </c>
      <c r="B401" t="s">
        <v>13</v>
      </c>
      <c r="C401" t="s">
        <v>19</v>
      </c>
      <c r="D401" t="s">
        <v>41</v>
      </c>
      <c r="E401" t="s">
        <v>59</v>
      </c>
      <c r="F401" t="s">
        <v>71</v>
      </c>
      <c r="G401" s="2">
        <v>3</v>
      </c>
      <c r="H401" s="2">
        <v>36552</v>
      </c>
      <c r="I401" s="2">
        <v>109656</v>
      </c>
      <c r="J401" t="s">
        <v>80</v>
      </c>
      <c r="K401" s="2"/>
    </row>
    <row r="402" spans="1:11" x14ac:dyDescent="0.3">
      <c r="A402" s="1">
        <v>45007</v>
      </c>
      <c r="B402" t="s">
        <v>12</v>
      </c>
      <c r="C402" t="s">
        <v>21</v>
      </c>
      <c r="D402" t="s">
        <v>37</v>
      </c>
      <c r="E402" t="s">
        <v>60</v>
      </c>
      <c r="F402" t="s">
        <v>71</v>
      </c>
      <c r="G402" s="2">
        <v>5</v>
      </c>
      <c r="H402" s="2">
        <v>35399</v>
      </c>
      <c r="I402" s="2">
        <v>176995</v>
      </c>
      <c r="J402" t="s">
        <v>73</v>
      </c>
      <c r="K402" s="2"/>
    </row>
    <row r="403" spans="1:11" x14ac:dyDescent="0.3">
      <c r="A403" s="1">
        <v>45121</v>
      </c>
      <c r="B403" t="s">
        <v>13</v>
      </c>
      <c r="C403" t="s">
        <v>25</v>
      </c>
      <c r="D403" t="s">
        <v>46</v>
      </c>
      <c r="E403" t="s">
        <v>63</v>
      </c>
      <c r="F403" t="s">
        <v>72</v>
      </c>
      <c r="G403" s="2">
        <v>7</v>
      </c>
      <c r="H403" s="2">
        <v>26855</v>
      </c>
      <c r="I403" s="2">
        <v>187985</v>
      </c>
      <c r="J403" t="s">
        <v>73</v>
      </c>
      <c r="K403" s="2"/>
    </row>
    <row r="404" spans="1:11" x14ac:dyDescent="0.3">
      <c r="A404" s="1">
        <v>45108</v>
      </c>
      <c r="B404" t="s">
        <v>12</v>
      </c>
      <c r="C404" t="s">
        <v>18</v>
      </c>
      <c r="D404" t="s">
        <v>34</v>
      </c>
      <c r="E404" t="s">
        <v>56</v>
      </c>
      <c r="F404" t="s">
        <v>70</v>
      </c>
      <c r="G404" s="2">
        <v>10</v>
      </c>
      <c r="H404" s="2">
        <v>29112</v>
      </c>
      <c r="I404" s="2">
        <v>291120</v>
      </c>
      <c r="J404" t="s">
        <v>80</v>
      </c>
      <c r="K404" s="2"/>
    </row>
    <row r="405" spans="1:11" x14ac:dyDescent="0.3">
      <c r="A405" s="1">
        <v>45026</v>
      </c>
      <c r="B405" t="s">
        <v>12</v>
      </c>
      <c r="C405" t="s">
        <v>21</v>
      </c>
      <c r="D405" t="s">
        <v>37</v>
      </c>
      <c r="E405" t="s">
        <v>67</v>
      </c>
      <c r="F405" t="s">
        <v>72</v>
      </c>
      <c r="G405" s="2">
        <v>10</v>
      </c>
      <c r="H405" s="2">
        <v>57142</v>
      </c>
      <c r="I405" s="2">
        <v>571420</v>
      </c>
      <c r="J405" t="s">
        <v>79</v>
      </c>
      <c r="K405" s="2"/>
    </row>
    <row r="406" spans="1:11" x14ac:dyDescent="0.3">
      <c r="A406" s="1">
        <v>45110</v>
      </c>
      <c r="B406" t="s">
        <v>13</v>
      </c>
      <c r="C406" t="s">
        <v>19</v>
      </c>
      <c r="D406" t="s">
        <v>35</v>
      </c>
      <c r="E406" t="s">
        <v>64</v>
      </c>
      <c r="F406" t="s">
        <v>69</v>
      </c>
      <c r="G406" s="2">
        <v>5</v>
      </c>
      <c r="H406" s="2">
        <v>28167</v>
      </c>
      <c r="I406" s="2">
        <v>140835</v>
      </c>
      <c r="J406" t="s">
        <v>79</v>
      </c>
      <c r="K406" s="2"/>
    </row>
    <row r="407" spans="1:11" x14ac:dyDescent="0.3">
      <c r="A407" s="1">
        <v>45191</v>
      </c>
      <c r="B407" t="s">
        <v>10</v>
      </c>
      <c r="C407" t="s">
        <v>26</v>
      </c>
      <c r="D407" t="s">
        <v>26</v>
      </c>
      <c r="E407" t="s">
        <v>56</v>
      </c>
      <c r="F407" t="s">
        <v>70</v>
      </c>
      <c r="G407" s="2">
        <v>5</v>
      </c>
      <c r="H407" s="2">
        <v>44301</v>
      </c>
      <c r="I407" s="2">
        <v>221505</v>
      </c>
      <c r="J407" t="s">
        <v>77</v>
      </c>
      <c r="K407" s="2"/>
    </row>
    <row r="408" spans="1:11" x14ac:dyDescent="0.3">
      <c r="A408" s="1">
        <v>45209</v>
      </c>
      <c r="B408" t="s">
        <v>12</v>
      </c>
      <c r="C408" t="s">
        <v>21</v>
      </c>
      <c r="D408" t="s">
        <v>37</v>
      </c>
      <c r="E408" t="s">
        <v>62</v>
      </c>
      <c r="F408" t="s">
        <v>71</v>
      </c>
      <c r="G408" s="2">
        <v>2</v>
      </c>
      <c r="H408" s="2">
        <v>48401</v>
      </c>
      <c r="I408" s="2">
        <v>96802</v>
      </c>
      <c r="J408" t="s">
        <v>74</v>
      </c>
      <c r="K408" s="2"/>
    </row>
    <row r="409" spans="1:11" x14ac:dyDescent="0.3">
      <c r="A409" s="1">
        <v>45198</v>
      </c>
      <c r="B409" t="s">
        <v>10</v>
      </c>
      <c r="C409" t="s">
        <v>15</v>
      </c>
      <c r="D409" t="s">
        <v>31</v>
      </c>
      <c r="E409" t="s">
        <v>55</v>
      </c>
      <c r="F409" t="s">
        <v>70</v>
      </c>
      <c r="G409" s="2">
        <v>5</v>
      </c>
      <c r="H409" s="2">
        <v>7706</v>
      </c>
      <c r="I409" s="2">
        <v>38530</v>
      </c>
      <c r="J409" t="s">
        <v>77</v>
      </c>
      <c r="K409" s="2"/>
    </row>
    <row r="410" spans="1:11" x14ac:dyDescent="0.3">
      <c r="A410" s="1">
        <v>45255</v>
      </c>
      <c r="B410" t="s">
        <v>10</v>
      </c>
      <c r="C410" t="s">
        <v>26</v>
      </c>
      <c r="D410" t="s">
        <v>26</v>
      </c>
      <c r="E410" t="s">
        <v>65</v>
      </c>
      <c r="F410" t="s">
        <v>72</v>
      </c>
      <c r="G410" s="2">
        <v>1</v>
      </c>
      <c r="H410" s="2">
        <v>9615</v>
      </c>
      <c r="I410" s="2">
        <v>9615</v>
      </c>
      <c r="J410" t="s">
        <v>80</v>
      </c>
      <c r="K410" s="2"/>
    </row>
    <row r="411" spans="1:11" x14ac:dyDescent="0.3">
      <c r="A411" s="1">
        <v>45020</v>
      </c>
      <c r="B411" t="s">
        <v>10</v>
      </c>
      <c r="C411" t="s">
        <v>14</v>
      </c>
      <c r="D411" t="s">
        <v>52</v>
      </c>
      <c r="E411" t="s">
        <v>56</v>
      </c>
      <c r="F411" t="s">
        <v>70</v>
      </c>
      <c r="G411" s="2">
        <v>6</v>
      </c>
      <c r="H411" s="2">
        <v>15839</v>
      </c>
      <c r="I411" s="2">
        <v>95034</v>
      </c>
      <c r="J411" t="s">
        <v>76</v>
      </c>
      <c r="K411" s="2"/>
    </row>
    <row r="412" spans="1:11" x14ac:dyDescent="0.3">
      <c r="A412" s="1">
        <v>44979</v>
      </c>
      <c r="B412" t="s">
        <v>13</v>
      </c>
      <c r="C412" t="s">
        <v>25</v>
      </c>
      <c r="D412" t="s">
        <v>45</v>
      </c>
      <c r="E412" t="s">
        <v>66</v>
      </c>
      <c r="F412" t="s">
        <v>70</v>
      </c>
      <c r="G412" s="2">
        <v>2</v>
      </c>
      <c r="H412" s="2">
        <v>25762</v>
      </c>
      <c r="I412" s="2">
        <v>51524</v>
      </c>
      <c r="J412" t="s">
        <v>79</v>
      </c>
      <c r="K412" s="2"/>
    </row>
    <row r="413" spans="1:11" x14ac:dyDescent="0.3">
      <c r="A413" s="1">
        <v>45097</v>
      </c>
      <c r="B413" t="s">
        <v>11</v>
      </c>
      <c r="C413" t="s">
        <v>24</v>
      </c>
      <c r="D413" t="s">
        <v>44</v>
      </c>
      <c r="E413" t="s">
        <v>61</v>
      </c>
      <c r="F413" t="s">
        <v>69</v>
      </c>
      <c r="G413" s="2">
        <v>9</v>
      </c>
      <c r="H413" s="2">
        <v>748</v>
      </c>
      <c r="I413" s="2">
        <v>6732</v>
      </c>
      <c r="J413" t="s">
        <v>76</v>
      </c>
      <c r="K413" s="2"/>
    </row>
    <row r="414" spans="1:11" x14ac:dyDescent="0.3">
      <c r="A414" s="1">
        <v>45117</v>
      </c>
      <c r="B414" t="s">
        <v>10</v>
      </c>
      <c r="C414" t="s">
        <v>26</v>
      </c>
      <c r="D414" t="s">
        <v>26</v>
      </c>
      <c r="E414" t="s">
        <v>55</v>
      </c>
      <c r="F414" t="s">
        <v>70</v>
      </c>
      <c r="G414" s="2">
        <v>8</v>
      </c>
      <c r="H414" s="2">
        <v>3273</v>
      </c>
      <c r="I414" s="2">
        <v>26184</v>
      </c>
      <c r="J414" t="s">
        <v>78</v>
      </c>
      <c r="K414" s="2"/>
    </row>
    <row r="415" spans="1:11" x14ac:dyDescent="0.3">
      <c r="A415" s="1">
        <v>45029</v>
      </c>
      <c r="B415" t="s">
        <v>13</v>
      </c>
      <c r="C415" t="s">
        <v>20</v>
      </c>
      <c r="D415" t="s">
        <v>36</v>
      </c>
      <c r="E415" t="s">
        <v>57</v>
      </c>
      <c r="F415" t="s">
        <v>71</v>
      </c>
      <c r="G415" s="2">
        <v>2</v>
      </c>
      <c r="H415" s="2">
        <v>30255</v>
      </c>
      <c r="I415" s="2">
        <v>60510</v>
      </c>
      <c r="J415" t="s">
        <v>77</v>
      </c>
      <c r="K415" s="2"/>
    </row>
    <row r="416" spans="1:11" x14ac:dyDescent="0.3">
      <c r="A416" s="1">
        <v>45146</v>
      </c>
      <c r="B416" t="s">
        <v>10</v>
      </c>
      <c r="C416" t="s">
        <v>14</v>
      </c>
      <c r="D416" t="s">
        <v>52</v>
      </c>
      <c r="E416" t="s">
        <v>57</v>
      </c>
      <c r="F416" t="s">
        <v>71</v>
      </c>
      <c r="G416" s="2">
        <v>9</v>
      </c>
      <c r="H416" s="2">
        <v>36886</v>
      </c>
      <c r="I416" s="2">
        <v>331974</v>
      </c>
      <c r="J416" t="s">
        <v>75</v>
      </c>
      <c r="K416" s="2"/>
    </row>
    <row r="417" spans="1:11" x14ac:dyDescent="0.3">
      <c r="A417" s="1">
        <v>44962</v>
      </c>
      <c r="B417" t="s">
        <v>13</v>
      </c>
      <c r="C417" t="s">
        <v>20</v>
      </c>
      <c r="D417" t="s">
        <v>36</v>
      </c>
      <c r="E417" t="s">
        <v>63</v>
      </c>
      <c r="F417" t="s">
        <v>72</v>
      </c>
      <c r="G417" s="2">
        <v>4</v>
      </c>
      <c r="H417" s="2">
        <v>45310</v>
      </c>
      <c r="I417" s="2">
        <v>181240</v>
      </c>
      <c r="J417" t="s">
        <v>78</v>
      </c>
      <c r="K417" s="2"/>
    </row>
    <row r="418" spans="1:11" x14ac:dyDescent="0.3">
      <c r="A418" s="1">
        <v>45199</v>
      </c>
      <c r="B418" t="s">
        <v>12</v>
      </c>
      <c r="C418" t="s">
        <v>21</v>
      </c>
      <c r="D418" t="s">
        <v>37</v>
      </c>
      <c r="E418" t="s">
        <v>59</v>
      </c>
      <c r="F418" t="s">
        <v>71</v>
      </c>
      <c r="G418" s="2">
        <v>4</v>
      </c>
      <c r="H418" s="2">
        <v>8690</v>
      </c>
      <c r="I418" s="2">
        <v>34760</v>
      </c>
      <c r="J418" t="s">
        <v>77</v>
      </c>
      <c r="K418" s="2"/>
    </row>
    <row r="419" spans="1:11" x14ac:dyDescent="0.3">
      <c r="A419" s="1">
        <v>45056</v>
      </c>
      <c r="B419" t="s">
        <v>10</v>
      </c>
      <c r="C419" t="s">
        <v>15</v>
      </c>
      <c r="D419" t="s">
        <v>31</v>
      </c>
      <c r="E419" t="s">
        <v>66</v>
      </c>
      <c r="F419" t="s">
        <v>70</v>
      </c>
      <c r="G419" s="2">
        <v>6</v>
      </c>
      <c r="H419" s="2">
        <v>10852</v>
      </c>
      <c r="I419" s="2">
        <v>65112</v>
      </c>
      <c r="J419" t="s">
        <v>75</v>
      </c>
      <c r="K419" s="2"/>
    </row>
    <row r="420" spans="1:11" x14ac:dyDescent="0.3">
      <c r="A420" s="1">
        <v>45055</v>
      </c>
      <c r="B420" t="s">
        <v>10</v>
      </c>
      <c r="C420" t="s">
        <v>15</v>
      </c>
      <c r="D420" t="s">
        <v>39</v>
      </c>
      <c r="E420" t="s">
        <v>58</v>
      </c>
      <c r="F420" t="s">
        <v>72</v>
      </c>
      <c r="G420" s="2">
        <v>2</v>
      </c>
      <c r="H420" s="2">
        <v>26142</v>
      </c>
      <c r="I420" s="2">
        <v>52284</v>
      </c>
      <c r="J420" t="s">
        <v>74</v>
      </c>
      <c r="K420" s="2"/>
    </row>
    <row r="421" spans="1:11" x14ac:dyDescent="0.3">
      <c r="A421" s="1">
        <v>45268</v>
      </c>
      <c r="B421" t="s">
        <v>11</v>
      </c>
      <c r="C421" t="s">
        <v>29</v>
      </c>
      <c r="D421" t="s">
        <v>50</v>
      </c>
      <c r="E421" t="s">
        <v>56</v>
      </c>
      <c r="F421" t="s">
        <v>70</v>
      </c>
      <c r="G421" s="2">
        <v>5</v>
      </c>
      <c r="H421" s="2">
        <v>59826</v>
      </c>
      <c r="I421" s="2">
        <v>299130</v>
      </c>
      <c r="J421" t="s">
        <v>80</v>
      </c>
      <c r="K421" s="2"/>
    </row>
    <row r="422" spans="1:11" x14ac:dyDescent="0.3">
      <c r="A422" s="1">
        <v>44944</v>
      </c>
      <c r="B422" t="s">
        <v>12</v>
      </c>
      <c r="C422" t="s">
        <v>21</v>
      </c>
      <c r="D422" t="s">
        <v>37</v>
      </c>
      <c r="E422" t="s">
        <v>55</v>
      </c>
      <c r="F422" t="s">
        <v>70</v>
      </c>
      <c r="G422" s="2">
        <v>3</v>
      </c>
      <c r="H422" s="2">
        <v>14593</v>
      </c>
      <c r="I422" s="2">
        <v>43779</v>
      </c>
      <c r="J422" t="s">
        <v>75</v>
      </c>
      <c r="K422" s="2"/>
    </row>
    <row r="423" spans="1:11" x14ac:dyDescent="0.3">
      <c r="A423" s="1">
        <v>45236</v>
      </c>
      <c r="B423" t="s">
        <v>12</v>
      </c>
      <c r="C423" t="s">
        <v>23</v>
      </c>
      <c r="D423" t="s">
        <v>42</v>
      </c>
      <c r="E423" t="s">
        <v>57</v>
      </c>
      <c r="F423" t="s">
        <v>71</v>
      </c>
      <c r="G423" s="2">
        <v>1</v>
      </c>
      <c r="H423" s="2">
        <v>43899</v>
      </c>
      <c r="I423" s="2">
        <v>43899</v>
      </c>
      <c r="J423" t="s">
        <v>78</v>
      </c>
      <c r="K423" s="2"/>
    </row>
    <row r="424" spans="1:11" x14ac:dyDescent="0.3">
      <c r="A424" s="1">
        <v>45173</v>
      </c>
      <c r="B424" t="s">
        <v>11</v>
      </c>
      <c r="C424" t="s">
        <v>29</v>
      </c>
      <c r="D424" t="s">
        <v>50</v>
      </c>
      <c r="E424" t="s">
        <v>58</v>
      </c>
      <c r="F424" t="s">
        <v>72</v>
      </c>
      <c r="G424" s="2">
        <v>6</v>
      </c>
      <c r="H424" s="2">
        <v>24424</v>
      </c>
      <c r="I424" s="2">
        <v>146544</v>
      </c>
      <c r="J424" t="s">
        <v>78</v>
      </c>
      <c r="K424" s="2"/>
    </row>
    <row r="425" spans="1:11" x14ac:dyDescent="0.3">
      <c r="A425" s="1">
        <v>44933</v>
      </c>
      <c r="B425" t="s">
        <v>11</v>
      </c>
      <c r="C425" t="s">
        <v>17</v>
      </c>
      <c r="D425" t="s">
        <v>33</v>
      </c>
      <c r="E425" t="s">
        <v>58</v>
      </c>
      <c r="F425" t="s">
        <v>72</v>
      </c>
      <c r="G425" s="2">
        <v>5</v>
      </c>
      <c r="H425" s="2">
        <v>40051</v>
      </c>
      <c r="I425" s="2">
        <v>200255</v>
      </c>
      <c r="J425" t="s">
        <v>74</v>
      </c>
      <c r="K425" s="2"/>
    </row>
    <row r="426" spans="1:11" x14ac:dyDescent="0.3">
      <c r="A426" s="1">
        <v>45108</v>
      </c>
      <c r="B426" t="s">
        <v>11</v>
      </c>
      <c r="C426" t="s">
        <v>29</v>
      </c>
      <c r="D426" t="s">
        <v>50</v>
      </c>
      <c r="E426" t="s">
        <v>61</v>
      </c>
      <c r="F426" t="s">
        <v>69</v>
      </c>
      <c r="G426" s="2">
        <v>9</v>
      </c>
      <c r="H426" s="2">
        <v>26105</v>
      </c>
      <c r="I426" s="2">
        <v>234945</v>
      </c>
      <c r="J426" t="s">
        <v>74</v>
      </c>
      <c r="K426" s="2"/>
    </row>
    <row r="427" spans="1:11" x14ac:dyDescent="0.3">
      <c r="A427" s="1">
        <v>44930</v>
      </c>
      <c r="B427" t="s">
        <v>11</v>
      </c>
      <c r="C427" t="s">
        <v>29</v>
      </c>
      <c r="D427" t="s">
        <v>50</v>
      </c>
      <c r="E427" t="s">
        <v>62</v>
      </c>
      <c r="F427" t="s">
        <v>71</v>
      </c>
      <c r="G427" s="2">
        <v>9</v>
      </c>
      <c r="H427" s="2">
        <v>20606</v>
      </c>
      <c r="I427" s="2">
        <v>185454</v>
      </c>
      <c r="J427" t="s">
        <v>75</v>
      </c>
      <c r="K427" s="2"/>
    </row>
    <row r="428" spans="1:11" x14ac:dyDescent="0.3">
      <c r="A428" s="1">
        <v>45260</v>
      </c>
      <c r="B428" t="s">
        <v>13</v>
      </c>
      <c r="C428" t="s">
        <v>19</v>
      </c>
      <c r="D428" t="s">
        <v>41</v>
      </c>
      <c r="E428" t="s">
        <v>66</v>
      </c>
      <c r="F428" t="s">
        <v>70</v>
      </c>
      <c r="G428" s="2">
        <v>8</v>
      </c>
      <c r="H428" s="2">
        <v>33155</v>
      </c>
      <c r="I428" s="2">
        <v>265240</v>
      </c>
      <c r="J428" t="s">
        <v>78</v>
      </c>
      <c r="K428" s="2"/>
    </row>
    <row r="429" spans="1:11" x14ac:dyDescent="0.3">
      <c r="A429" s="1">
        <v>44956</v>
      </c>
      <c r="B429" t="s">
        <v>13</v>
      </c>
      <c r="C429" t="s">
        <v>20</v>
      </c>
      <c r="D429" t="s">
        <v>36</v>
      </c>
      <c r="E429" t="s">
        <v>64</v>
      </c>
      <c r="F429" t="s">
        <v>69</v>
      </c>
      <c r="G429" s="2">
        <v>9</v>
      </c>
      <c r="H429" s="2">
        <v>18768</v>
      </c>
      <c r="I429" s="2">
        <v>168912</v>
      </c>
      <c r="J429" t="s">
        <v>73</v>
      </c>
      <c r="K429" s="2"/>
    </row>
    <row r="430" spans="1:11" x14ac:dyDescent="0.3">
      <c r="A430" s="1">
        <v>45166</v>
      </c>
      <c r="B430" t="s">
        <v>11</v>
      </c>
      <c r="C430" t="s">
        <v>17</v>
      </c>
      <c r="D430" t="s">
        <v>33</v>
      </c>
      <c r="E430" t="s">
        <v>56</v>
      </c>
      <c r="F430" t="s">
        <v>70</v>
      </c>
      <c r="G430" s="2">
        <v>2</v>
      </c>
      <c r="H430" s="2">
        <v>46627</v>
      </c>
      <c r="I430" s="2">
        <v>93254</v>
      </c>
      <c r="J430" t="s">
        <v>80</v>
      </c>
      <c r="K430" s="2"/>
    </row>
    <row r="431" spans="1:11" x14ac:dyDescent="0.3">
      <c r="A431" s="1">
        <v>44941</v>
      </c>
      <c r="B431" t="s">
        <v>10</v>
      </c>
      <c r="C431" t="s">
        <v>14</v>
      </c>
      <c r="D431" t="s">
        <v>30</v>
      </c>
      <c r="E431" t="s">
        <v>65</v>
      </c>
      <c r="F431" t="s">
        <v>72</v>
      </c>
      <c r="G431" s="2">
        <v>9</v>
      </c>
      <c r="H431" s="2">
        <v>27831</v>
      </c>
      <c r="I431" s="2">
        <v>250479</v>
      </c>
      <c r="J431" t="s">
        <v>77</v>
      </c>
      <c r="K431" s="2"/>
    </row>
    <row r="432" spans="1:11" x14ac:dyDescent="0.3">
      <c r="A432" s="1">
        <v>45243</v>
      </c>
      <c r="B432" t="s">
        <v>11</v>
      </c>
      <c r="C432" t="s">
        <v>29</v>
      </c>
      <c r="D432" t="s">
        <v>50</v>
      </c>
      <c r="E432" t="s">
        <v>63</v>
      </c>
      <c r="F432" t="s">
        <v>72</v>
      </c>
      <c r="G432" s="2">
        <v>5</v>
      </c>
      <c r="H432" s="2">
        <v>57401</v>
      </c>
      <c r="I432" s="2">
        <v>287005</v>
      </c>
      <c r="J432" t="s">
        <v>76</v>
      </c>
      <c r="K432" s="2"/>
    </row>
    <row r="433" spans="1:11" x14ac:dyDescent="0.3">
      <c r="A433" s="1">
        <v>45212</v>
      </c>
      <c r="B433" t="s">
        <v>13</v>
      </c>
      <c r="C433" t="s">
        <v>25</v>
      </c>
      <c r="D433" t="s">
        <v>46</v>
      </c>
      <c r="E433" t="s">
        <v>63</v>
      </c>
      <c r="F433" t="s">
        <v>72</v>
      </c>
      <c r="G433" s="2">
        <v>7</v>
      </c>
      <c r="H433" s="2">
        <v>13541</v>
      </c>
      <c r="I433" s="2">
        <v>94787</v>
      </c>
      <c r="J433" t="s">
        <v>78</v>
      </c>
      <c r="K433" s="2"/>
    </row>
    <row r="434" spans="1:11" x14ac:dyDescent="0.3">
      <c r="A434" s="1">
        <v>45049</v>
      </c>
      <c r="B434" t="s">
        <v>13</v>
      </c>
      <c r="C434" t="s">
        <v>19</v>
      </c>
      <c r="D434" t="s">
        <v>41</v>
      </c>
      <c r="E434" t="s">
        <v>59</v>
      </c>
      <c r="F434" t="s">
        <v>71</v>
      </c>
      <c r="G434" s="2">
        <v>1</v>
      </c>
      <c r="H434" s="2">
        <v>56654</v>
      </c>
      <c r="I434" s="2">
        <v>56654</v>
      </c>
      <c r="J434" t="s">
        <v>77</v>
      </c>
      <c r="K434" s="2"/>
    </row>
    <row r="435" spans="1:11" x14ac:dyDescent="0.3">
      <c r="A435" s="1">
        <v>45247</v>
      </c>
      <c r="B435" t="s">
        <v>10</v>
      </c>
      <c r="C435" t="s">
        <v>27</v>
      </c>
      <c r="D435" t="s">
        <v>49</v>
      </c>
      <c r="E435" t="s">
        <v>61</v>
      </c>
      <c r="F435" t="s">
        <v>69</v>
      </c>
      <c r="G435" s="2">
        <v>7</v>
      </c>
      <c r="H435" s="2">
        <v>38793</v>
      </c>
      <c r="I435" s="2">
        <v>271551</v>
      </c>
      <c r="J435" t="s">
        <v>76</v>
      </c>
      <c r="K435" s="2"/>
    </row>
    <row r="436" spans="1:11" x14ac:dyDescent="0.3">
      <c r="A436" s="1">
        <v>45144</v>
      </c>
      <c r="B436" t="s">
        <v>13</v>
      </c>
      <c r="C436" t="s">
        <v>20</v>
      </c>
      <c r="D436" t="s">
        <v>36</v>
      </c>
      <c r="E436" t="s">
        <v>62</v>
      </c>
      <c r="F436" t="s">
        <v>71</v>
      </c>
      <c r="G436" s="2">
        <v>7</v>
      </c>
      <c r="H436" s="2">
        <v>2469</v>
      </c>
      <c r="I436" s="2">
        <v>17283</v>
      </c>
      <c r="J436" t="s">
        <v>74</v>
      </c>
      <c r="K436" s="2"/>
    </row>
    <row r="437" spans="1:11" x14ac:dyDescent="0.3">
      <c r="A437" s="1">
        <v>44992</v>
      </c>
      <c r="B437" t="s">
        <v>10</v>
      </c>
      <c r="C437" t="s">
        <v>26</v>
      </c>
      <c r="D437" t="s">
        <v>26</v>
      </c>
      <c r="E437" t="s">
        <v>65</v>
      </c>
      <c r="F437" t="s">
        <v>72</v>
      </c>
      <c r="G437" s="2">
        <v>7</v>
      </c>
      <c r="H437" s="2">
        <v>3285</v>
      </c>
      <c r="I437" s="2">
        <v>22995</v>
      </c>
      <c r="J437" t="s">
        <v>79</v>
      </c>
      <c r="K437" s="2"/>
    </row>
    <row r="438" spans="1:11" x14ac:dyDescent="0.3">
      <c r="A438" s="1">
        <v>45014</v>
      </c>
      <c r="B438" t="s">
        <v>13</v>
      </c>
      <c r="C438" t="s">
        <v>19</v>
      </c>
      <c r="D438" t="s">
        <v>35</v>
      </c>
      <c r="E438" t="s">
        <v>56</v>
      </c>
      <c r="F438" t="s">
        <v>70</v>
      </c>
      <c r="G438" s="2">
        <v>4</v>
      </c>
      <c r="H438" s="2">
        <v>14570</v>
      </c>
      <c r="I438" s="2">
        <v>58280</v>
      </c>
      <c r="J438" t="s">
        <v>73</v>
      </c>
      <c r="K438" s="2"/>
    </row>
    <row r="439" spans="1:11" x14ac:dyDescent="0.3">
      <c r="A439" s="1">
        <v>45018</v>
      </c>
      <c r="B439" t="s">
        <v>13</v>
      </c>
      <c r="C439" t="s">
        <v>25</v>
      </c>
      <c r="D439" t="s">
        <v>45</v>
      </c>
      <c r="E439" t="s">
        <v>58</v>
      </c>
      <c r="F439" t="s">
        <v>72</v>
      </c>
      <c r="G439" s="2">
        <v>8</v>
      </c>
      <c r="H439" s="2">
        <v>13615</v>
      </c>
      <c r="I439" s="2">
        <v>108920</v>
      </c>
      <c r="J439" t="s">
        <v>80</v>
      </c>
      <c r="K439" s="2"/>
    </row>
    <row r="440" spans="1:11" x14ac:dyDescent="0.3">
      <c r="A440" s="1">
        <v>45105</v>
      </c>
      <c r="B440" t="s">
        <v>12</v>
      </c>
      <c r="C440" t="s">
        <v>22</v>
      </c>
      <c r="D440" t="s">
        <v>40</v>
      </c>
      <c r="E440" t="s">
        <v>64</v>
      </c>
      <c r="F440" t="s">
        <v>69</v>
      </c>
      <c r="G440" s="2">
        <v>8</v>
      </c>
      <c r="H440" s="2">
        <v>8029</v>
      </c>
      <c r="I440" s="2">
        <v>64232</v>
      </c>
      <c r="J440" t="s">
        <v>79</v>
      </c>
      <c r="K440" s="2"/>
    </row>
    <row r="441" spans="1:11" x14ac:dyDescent="0.3">
      <c r="A441" s="1">
        <v>45248</v>
      </c>
      <c r="B441" t="s">
        <v>10</v>
      </c>
      <c r="C441" t="s">
        <v>15</v>
      </c>
      <c r="D441" t="s">
        <v>31</v>
      </c>
      <c r="E441" t="s">
        <v>63</v>
      </c>
      <c r="F441" t="s">
        <v>72</v>
      </c>
      <c r="G441" s="2">
        <v>8</v>
      </c>
      <c r="H441" s="2">
        <v>1018</v>
      </c>
      <c r="I441" s="2">
        <v>8144</v>
      </c>
      <c r="J441" t="s">
        <v>74</v>
      </c>
      <c r="K441" s="2"/>
    </row>
    <row r="442" spans="1:11" x14ac:dyDescent="0.3">
      <c r="A442" s="1">
        <v>45222</v>
      </c>
      <c r="B442" t="s">
        <v>11</v>
      </c>
      <c r="C442" t="s">
        <v>29</v>
      </c>
      <c r="D442" t="s">
        <v>50</v>
      </c>
      <c r="E442" t="s">
        <v>57</v>
      </c>
      <c r="F442" t="s">
        <v>71</v>
      </c>
      <c r="G442" s="2">
        <v>5</v>
      </c>
      <c r="H442" s="2">
        <v>23136</v>
      </c>
      <c r="I442" s="2">
        <v>115680</v>
      </c>
      <c r="J442" t="s">
        <v>76</v>
      </c>
      <c r="K442" s="2"/>
    </row>
    <row r="443" spans="1:11" x14ac:dyDescent="0.3">
      <c r="A443" s="1">
        <v>45027</v>
      </c>
      <c r="B443" t="s">
        <v>12</v>
      </c>
      <c r="C443" t="s">
        <v>23</v>
      </c>
      <c r="D443" t="s">
        <v>42</v>
      </c>
      <c r="E443" t="s">
        <v>66</v>
      </c>
      <c r="F443" t="s">
        <v>70</v>
      </c>
      <c r="G443" s="2">
        <v>4</v>
      </c>
      <c r="H443" s="2">
        <v>24536</v>
      </c>
      <c r="I443" s="2">
        <v>98144</v>
      </c>
      <c r="J443" t="s">
        <v>77</v>
      </c>
      <c r="K443" s="2"/>
    </row>
    <row r="444" spans="1:11" x14ac:dyDescent="0.3">
      <c r="A444" s="1">
        <v>45005</v>
      </c>
      <c r="B444" t="s">
        <v>12</v>
      </c>
      <c r="C444" t="s">
        <v>21</v>
      </c>
      <c r="D444" t="s">
        <v>38</v>
      </c>
      <c r="E444" t="s">
        <v>62</v>
      </c>
      <c r="F444" t="s">
        <v>71</v>
      </c>
      <c r="G444" s="2">
        <v>2</v>
      </c>
      <c r="H444" s="2">
        <v>28605</v>
      </c>
      <c r="I444" s="2">
        <v>57210</v>
      </c>
      <c r="J444" t="s">
        <v>73</v>
      </c>
      <c r="K444" s="2"/>
    </row>
    <row r="445" spans="1:11" x14ac:dyDescent="0.3">
      <c r="A445" s="1">
        <v>45000</v>
      </c>
      <c r="B445" t="s">
        <v>10</v>
      </c>
      <c r="C445" t="s">
        <v>26</v>
      </c>
      <c r="D445" t="s">
        <v>26</v>
      </c>
      <c r="E445" t="s">
        <v>65</v>
      </c>
      <c r="F445" t="s">
        <v>72</v>
      </c>
      <c r="G445" s="2">
        <v>6</v>
      </c>
      <c r="H445" s="2">
        <v>17010</v>
      </c>
      <c r="I445" s="2">
        <v>102060</v>
      </c>
      <c r="J445" t="s">
        <v>80</v>
      </c>
      <c r="K445" s="2"/>
    </row>
    <row r="446" spans="1:11" x14ac:dyDescent="0.3">
      <c r="A446" s="1">
        <v>44955</v>
      </c>
      <c r="B446" t="s">
        <v>10</v>
      </c>
      <c r="C446" t="s">
        <v>15</v>
      </c>
      <c r="D446" t="s">
        <v>39</v>
      </c>
      <c r="E446" t="s">
        <v>67</v>
      </c>
      <c r="F446" t="s">
        <v>72</v>
      </c>
      <c r="G446" s="2">
        <v>2</v>
      </c>
      <c r="H446" s="2">
        <v>57732</v>
      </c>
      <c r="I446" s="2">
        <v>115464</v>
      </c>
      <c r="J446" t="s">
        <v>74</v>
      </c>
      <c r="K446" s="2"/>
    </row>
    <row r="447" spans="1:11" x14ac:dyDescent="0.3">
      <c r="A447" s="1">
        <v>45000</v>
      </c>
      <c r="B447" t="s">
        <v>12</v>
      </c>
      <c r="C447" t="s">
        <v>23</v>
      </c>
      <c r="D447" t="s">
        <v>53</v>
      </c>
      <c r="E447" t="s">
        <v>55</v>
      </c>
      <c r="F447" t="s">
        <v>70</v>
      </c>
      <c r="G447" s="2">
        <v>6</v>
      </c>
      <c r="H447" s="2">
        <v>57147</v>
      </c>
      <c r="I447" s="2">
        <v>342882</v>
      </c>
      <c r="J447" t="s">
        <v>74</v>
      </c>
      <c r="K447" s="2"/>
    </row>
    <row r="448" spans="1:11" x14ac:dyDescent="0.3">
      <c r="A448" s="1">
        <v>45182</v>
      </c>
      <c r="B448" t="s">
        <v>13</v>
      </c>
      <c r="C448" t="s">
        <v>25</v>
      </c>
      <c r="D448" t="s">
        <v>45</v>
      </c>
      <c r="E448" t="s">
        <v>67</v>
      </c>
      <c r="F448" t="s">
        <v>72</v>
      </c>
      <c r="G448" s="2">
        <v>2</v>
      </c>
      <c r="H448" s="2">
        <v>20597</v>
      </c>
      <c r="I448" s="2">
        <v>41194</v>
      </c>
      <c r="J448" t="s">
        <v>80</v>
      </c>
      <c r="K448" s="2"/>
    </row>
    <row r="449" spans="1:11" x14ac:dyDescent="0.3">
      <c r="A449" s="1">
        <v>44954</v>
      </c>
      <c r="B449" t="s">
        <v>10</v>
      </c>
      <c r="C449" t="s">
        <v>15</v>
      </c>
      <c r="D449" t="s">
        <v>31</v>
      </c>
      <c r="E449" t="s">
        <v>57</v>
      </c>
      <c r="F449" t="s">
        <v>71</v>
      </c>
      <c r="G449" s="2">
        <v>1</v>
      </c>
      <c r="H449" s="2">
        <v>2888</v>
      </c>
      <c r="I449" s="2">
        <v>2888</v>
      </c>
      <c r="J449" t="s">
        <v>76</v>
      </c>
      <c r="K449" s="2"/>
    </row>
    <row r="450" spans="1:11" x14ac:dyDescent="0.3">
      <c r="A450" s="1">
        <v>45127</v>
      </c>
      <c r="B450" t="s">
        <v>10</v>
      </c>
      <c r="C450" t="s">
        <v>27</v>
      </c>
      <c r="D450" t="s">
        <v>49</v>
      </c>
      <c r="E450" t="s">
        <v>55</v>
      </c>
      <c r="F450" t="s">
        <v>70</v>
      </c>
      <c r="G450" s="2">
        <v>10</v>
      </c>
      <c r="H450" s="2">
        <v>11525</v>
      </c>
      <c r="I450" s="2">
        <v>115250</v>
      </c>
      <c r="J450" t="s">
        <v>78</v>
      </c>
      <c r="K450" s="2"/>
    </row>
    <row r="451" spans="1:11" x14ac:dyDescent="0.3">
      <c r="A451" s="1">
        <v>45082</v>
      </c>
      <c r="B451" t="s">
        <v>12</v>
      </c>
      <c r="C451" t="s">
        <v>21</v>
      </c>
      <c r="D451" t="s">
        <v>38</v>
      </c>
      <c r="E451" t="s">
        <v>62</v>
      </c>
      <c r="F451" t="s">
        <v>71</v>
      </c>
      <c r="G451" s="2">
        <v>8</v>
      </c>
      <c r="H451" s="2">
        <v>26115</v>
      </c>
      <c r="I451" s="2">
        <v>208920</v>
      </c>
      <c r="J451" t="s">
        <v>79</v>
      </c>
      <c r="K451" s="2"/>
    </row>
    <row r="452" spans="1:11" x14ac:dyDescent="0.3">
      <c r="A452" s="1">
        <v>44945</v>
      </c>
      <c r="B452" t="s">
        <v>13</v>
      </c>
      <c r="C452" t="s">
        <v>19</v>
      </c>
      <c r="D452" t="s">
        <v>35</v>
      </c>
      <c r="E452" t="s">
        <v>55</v>
      </c>
      <c r="F452" t="s">
        <v>70</v>
      </c>
      <c r="G452" s="2">
        <v>7</v>
      </c>
      <c r="H452" s="2">
        <v>16908</v>
      </c>
      <c r="I452" s="2">
        <v>118356</v>
      </c>
      <c r="J452" t="s">
        <v>77</v>
      </c>
      <c r="K452" s="2"/>
    </row>
    <row r="453" spans="1:11" x14ac:dyDescent="0.3">
      <c r="A453" s="1">
        <v>45007</v>
      </c>
      <c r="B453" t="s">
        <v>11</v>
      </c>
      <c r="C453" t="s">
        <v>29</v>
      </c>
      <c r="D453" t="s">
        <v>50</v>
      </c>
      <c r="E453" t="s">
        <v>57</v>
      </c>
      <c r="F453" t="s">
        <v>71</v>
      </c>
      <c r="G453" s="2">
        <v>7</v>
      </c>
      <c r="H453" s="2">
        <v>27072</v>
      </c>
      <c r="I453" s="2">
        <v>189504</v>
      </c>
      <c r="J453" t="s">
        <v>76</v>
      </c>
      <c r="K453" s="2"/>
    </row>
    <row r="454" spans="1:11" x14ac:dyDescent="0.3">
      <c r="A454" s="1">
        <v>45190</v>
      </c>
      <c r="B454" t="s">
        <v>10</v>
      </c>
      <c r="C454" t="s">
        <v>27</v>
      </c>
      <c r="D454" t="s">
        <v>47</v>
      </c>
      <c r="E454" t="s">
        <v>60</v>
      </c>
      <c r="F454" t="s">
        <v>71</v>
      </c>
      <c r="G454" s="2">
        <v>3</v>
      </c>
      <c r="H454" s="2">
        <v>58006</v>
      </c>
      <c r="I454" s="2">
        <v>174018</v>
      </c>
      <c r="J454" t="s">
        <v>74</v>
      </c>
      <c r="K454" s="2"/>
    </row>
    <row r="455" spans="1:11" x14ac:dyDescent="0.3">
      <c r="A455" s="1">
        <v>44976</v>
      </c>
      <c r="B455" t="s">
        <v>12</v>
      </c>
      <c r="C455" t="s">
        <v>22</v>
      </c>
      <c r="D455" t="s">
        <v>40</v>
      </c>
      <c r="E455" t="s">
        <v>68</v>
      </c>
      <c r="F455" t="s">
        <v>69</v>
      </c>
      <c r="G455" s="2">
        <v>4</v>
      </c>
      <c r="H455" s="2">
        <v>12495</v>
      </c>
      <c r="I455" s="2">
        <v>49980</v>
      </c>
      <c r="J455" t="s">
        <v>79</v>
      </c>
      <c r="K455" s="2"/>
    </row>
    <row r="456" spans="1:11" x14ac:dyDescent="0.3">
      <c r="A456" s="1">
        <v>44968</v>
      </c>
      <c r="B456" t="s">
        <v>12</v>
      </c>
      <c r="C456" t="s">
        <v>22</v>
      </c>
      <c r="D456" t="s">
        <v>40</v>
      </c>
      <c r="E456" t="s">
        <v>55</v>
      </c>
      <c r="F456" t="s">
        <v>70</v>
      </c>
      <c r="G456" s="2">
        <v>5</v>
      </c>
      <c r="H456" s="2">
        <v>46969</v>
      </c>
      <c r="I456" s="2">
        <v>234845</v>
      </c>
      <c r="J456" t="s">
        <v>77</v>
      </c>
      <c r="K456" s="2"/>
    </row>
    <row r="457" spans="1:11" x14ac:dyDescent="0.3">
      <c r="A457" s="1">
        <v>44950</v>
      </c>
      <c r="B457" t="s">
        <v>10</v>
      </c>
      <c r="C457" t="s">
        <v>26</v>
      </c>
      <c r="D457" t="s">
        <v>26</v>
      </c>
      <c r="E457" t="s">
        <v>56</v>
      </c>
      <c r="F457" t="s">
        <v>70</v>
      </c>
      <c r="G457" s="2">
        <v>5</v>
      </c>
      <c r="H457" s="2">
        <v>31730</v>
      </c>
      <c r="I457" s="2">
        <v>158650</v>
      </c>
      <c r="J457" t="s">
        <v>75</v>
      </c>
      <c r="K457" s="2"/>
    </row>
    <row r="458" spans="1:11" x14ac:dyDescent="0.3">
      <c r="A458" s="1">
        <v>45201</v>
      </c>
      <c r="B458" t="s">
        <v>11</v>
      </c>
      <c r="C458" t="s">
        <v>24</v>
      </c>
      <c r="D458" t="s">
        <v>44</v>
      </c>
      <c r="E458" t="s">
        <v>56</v>
      </c>
      <c r="F458" t="s">
        <v>70</v>
      </c>
      <c r="G458" s="2">
        <v>9</v>
      </c>
      <c r="H458" s="2">
        <v>4798</v>
      </c>
      <c r="I458" s="2">
        <v>43182</v>
      </c>
      <c r="J458" t="s">
        <v>77</v>
      </c>
      <c r="K458" s="2"/>
    </row>
    <row r="459" spans="1:11" x14ac:dyDescent="0.3">
      <c r="A459" s="1">
        <v>45070</v>
      </c>
      <c r="B459" t="s">
        <v>11</v>
      </c>
      <c r="C459" t="s">
        <v>17</v>
      </c>
      <c r="D459" t="s">
        <v>33</v>
      </c>
      <c r="E459" t="s">
        <v>59</v>
      </c>
      <c r="F459" t="s">
        <v>71</v>
      </c>
      <c r="G459" s="2">
        <v>1</v>
      </c>
      <c r="H459" s="2">
        <v>41512</v>
      </c>
      <c r="I459" s="2">
        <v>41512</v>
      </c>
      <c r="J459" t="s">
        <v>79</v>
      </c>
      <c r="K459" s="2"/>
    </row>
    <row r="460" spans="1:11" x14ac:dyDescent="0.3">
      <c r="A460" s="1">
        <v>44963</v>
      </c>
      <c r="B460" t="s">
        <v>12</v>
      </c>
      <c r="C460" t="s">
        <v>23</v>
      </c>
      <c r="D460" t="s">
        <v>42</v>
      </c>
      <c r="E460" t="s">
        <v>59</v>
      </c>
      <c r="F460" t="s">
        <v>71</v>
      </c>
      <c r="G460" s="2">
        <v>4</v>
      </c>
      <c r="H460" s="2">
        <v>38263</v>
      </c>
      <c r="I460" s="2">
        <v>153052</v>
      </c>
      <c r="J460" t="s">
        <v>75</v>
      </c>
      <c r="K460" s="2"/>
    </row>
    <row r="461" spans="1:11" x14ac:dyDescent="0.3">
      <c r="A461" s="1">
        <v>45073</v>
      </c>
      <c r="B461" t="s">
        <v>11</v>
      </c>
      <c r="C461" t="s">
        <v>17</v>
      </c>
      <c r="D461" t="s">
        <v>33</v>
      </c>
      <c r="E461" t="s">
        <v>56</v>
      </c>
      <c r="F461" t="s">
        <v>70</v>
      </c>
      <c r="G461" s="2">
        <v>1</v>
      </c>
      <c r="H461" s="2">
        <v>21377</v>
      </c>
      <c r="I461" s="2">
        <v>21377</v>
      </c>
      <c r="J461" t="s">
        <v>77</v>
      </c>
      <c r="K461" s="2"/>
    </row>
    <row r="462" spans="1:11" x14ac:dyDescent="0.3">
      <c r="A462" s="1">
        <v>45150</v>
      </c>
      <c r="B462" t="s">
        <v>13</v>
      </c>
      <c r="C462" t="s">
        <v>19</v>
      </c>
      <c r="D462" t="s">
        <v>35</v>
      </c>
      <c r="E462" t="s">
        <v>62</v>
      </c>
      <c r="F462" t="s">
        <v>71</v>
      </c>
      <c r="G462" s="2">
        <v>10</v>
      </c>
      <c r="H462" s="2">
        <v>18442</v>
      </c>
      <c r="I462" s="2">
        <v>184420</v>
      </c>
      <c r="J462" t="s">
        <v>77</v>
      </c>
      <c r="K462" s="2"/>
    </row>
    <row r="463" spans="1:11" x14ac:dyDescent="0.3">
      <c r="A463" s="1">
        <v>44939</v>
      </c>
      <c r="B463" t="s">
        <v>12</v>
      </c>
      <c r="C463" t="s">
        <v>22</v>
      </c>
      <c r="D463" t="s">
        <v>40</v>
      </c>
      <c r="E463" t="s">
        <v>63</v>
      </c>
      <c r="F463" t="s">
        <v>72</v>
      </c>
      <c r="G463" s="2">
        <v>3</v>
      </c>
      <c r="H463" s="2">
        <v>14096</v>
      </c>
      <c r="I463" s="2">
        <v>42288</v>
      </c>
      <c r="J463" t="s">
        <v>74</v>
      </c>
      <c r="K463" s="2"/>
    </row>
    <row r="464" spans="1:11" x14ac:dyDescent="0.3">
      <c r="A464" s="1">
        <v>45182</v>
      </c>
      <c r="B464" t="s">
        <v>11</v>
      </c>
      <c r="C464" t="s">
        <v>17</v>
      </c>
      <c r="D464" t="s">
        <v>33</v>
      </c>
      <c r="E464" t="s">
        <v>56</v>
      </c>
      <c r="F464" t="s">
        <v>70</v>
      </c>
      <c r="G464" s="2">
        <v>5</v>
      </c>
      <c r="H464" s="2">
        <v>32325</v>
      </c>
      <c r="I464" s="2">
        <v>161625</v>
      </c>
      <c r="J464" t="s">
        <v>75</v>
      </c>
      <c r="K464" s="2"/>
    </row>
    <row r="465" spans="1:11" x14ac:dyDescent="0.3">
      <c r="A465" s="1">
        <v>44987</v>
      </c>
      <c r="B465" t="s">
        <v>11</v>
      </c>
      <c r="C465" t="s">
        <v>24</v>
      </c>
      <c r="D465" t="s">
        <v>44</v>
      </c>
      <c r="E465" t="s">
        <v>54</v>
      </c>
      <c r="F465" t="s">
        <v>69</v>
      </c>
      <c r="G465" s="2">
        <v>10</v>
      </c>
      <c r="H465" s="2">
        <v>9983</v>
      </c>
      <c r="I465" s="2">
        <v>99830</v>
      </c>
      <c r="J465" t="s">
        <v>75</v>
      </c>
      <c r="K465" s="2"/>
    </row>
    <row r="466" spans="1:11" x14ac:dyDescent="0.3">
      <c r="A466" s="1">
        <v>45223</v>
      </c>
      <c r="B466" t="s">
        <v>13</v>
      </c>
      <c r="C466" t="s">
        <v>20</v>
      </c>
      <c r="D466" t="s">
        <v>36</v>
      </c>
      <c r="E466" t="s">
        <v>57</v>
      </c>
      <c r="F466" t="s">
        <v>71</v>
      </c>
      <c r="G466" s="2">
        <v>2</v>
      </c>
      <c r="H466" s="2">
        <v>59535</v>
      </c>
      <c r="I466" s="2">
        <v>119070</v>
      </c>
      <c r="J466" t="s">
        <v>77</v>
      </c>
      <c r="K466" s="2"/>
    </row>
    <row r="467" spans="1:11" x14ac:dyDescent="0.3">
      <c r="A467" s="1">
        <v>45053</v>
      </c>
      <c r="B467" t="s">
        <v>11</v>
      </c>
      <c r="C467" t="s">
        <v>17</v>
      </c>
      <c r="D467" t="s">
        <v>33</v>
      </c>
      <c r="E467" t="s">
        <v>62</v>
      </c>
      <c r="F467" t="s">
        <v>71</v>
      </c>
      <c r="G467" s="2">
        <v>8</v>
      </c>
      <c r="H467" s="2">
        <v>45176</v>
      </c>
      <c r="I467" s="2">
        <v>361408</v>
      </c>
      <c r="J467" t="s">
        <v>74</v>
      </c>
      <c r="K467" s="2"/>
    </row>
    <row r="468" spans="1:11" x14ac:dyDescent="0.3">
      <c r="A468" s="1">
        <v>45174</v>
      </c>
      <c r="B468" t="s">
        <v>11</v>
      </c>
      <c r="C468" t="s">
        <v>16</v>
      </c>
      <c r="D468" t="s">
        <v>32</v>
      </c>
      <c r="E468" t="s">
        <v>57</v>
      </c>
      <c r="F468" t="s">
        <v>71</v>
      </c>
      <c r="G468" s="2">
        <v>3</v>
      </c>
      <c r="H468" s="2">
        <v>32413</v>
      </c>
      <c r="I468" s="2">
        <v>97239</v>
      </c>
      <c r="J468" t="s">
        <v>74</v>
      </c>
      <c r="K468" s="2"/>
    </row>
    <row r="469" spans="1:11" x14ac:dyDescent="0.3">
      <c r="A469" s="1">
        <v>45091</v>
      </c>
      <c r="B469" t="s">
        <v>10</v>
      </c>
      <c r="C469" t="s">
        <v>15</v>
      </c>
      <c r="D469" t="s">
        <v>39</v>
      </c>
      <c r="E469" t="s">
        <v>66</v>
      </c>
      <c r="F469" t="s">
        <v>70</v>
      </c>
      <c r="G469" s="2">
        <v>2</v>
      </c>
      <c r="H469" s="2">
        <v>39420</v>
      </c>
      <c r="I469" s="2">
        <v>78840</v>
      </c>
      <c r="J469" t="s">
        <v>80</v>
      </c>
      <c r="K469" s="2"/>
    </row>
    <row r="470" spans="1:11" x14ac:dyDescent="0.3">
      <c r="A470" s="1">
        <v>45050</v>
      </c>
      <c r="B470" t="s">
        <v>11</v>
      </c>
      <c r="C470" t="s">
        <v>24</v>
      </c>
      <c r="D470" t="s">
        <v>44</v>
      </c>
      <c r="E470" t="s">
        <v>67</v>
      </c>
      <c r="F470" t="s">
        <v>72</v>
      </c>
      <c r="G470" s="2">
        <v>1</v>
      </c>
      <c r="H470" s="2">
        <v>10792</v>
      </c>
      <c r="I470" s="2">
        <v>10792</v>
      </c>
      <c r="J470" t="s">
        <v>79</v>
      </c>
      <c r="K470" s="2"/>
    </row>
    <row r="471" spans="1:11" x14ac:dyDescent="0.3">
      <c r="A471" s="1">
        <v>45158</v>
      </c>
      <c r="B471" t="s">
        <v>12</v>
      </c>
      <c r="C471" t="s">
        <v>18</v>
      </c>
      <c r="D471" t="s">
        <v>34</v>
      </c>
      <c r="E471" t="s">
        <v>56</v>
      </c>
      <c r="F471" t="s">
        <v>70</v>
      </c>
      <c r="G471" s="2">
        <v>4</v>
      </c>
      <c r="H471" s="2">
        <v>43583</v>
      </c>
      <c r="I471" s="2">
        <v>174332</v>
      </c>
      <c r="J471" t="s">
        <v>79</v>
      </c>
      <c r="K471" s="2"/>
    </row>
    <row r="472" spans="1:11" x14ac:dyDescent="0.3">
      <c r="A472" s="1">
        <v>45275</v>
      </c>
      <c r="B472" t="s">
        <v>12</v>
      </c>
      <c r="C472" t="s">
        <v>23</v>
      </c>
      <c r="D472" t="s">
        <v>53</v>
      </c>
      <c r="E472" t="s">
        <v>68</v>
      </c>
      <c r="F472" t="s">
        <v>69</v>
      </c>
      <c r="G472" s="2">
        <v>6</v>
      </c>
      <c r="H472" s="2">
        <v>11425</v>
      </c>
      <c r="I472" s="2">
        <v>68550</v>
      </c>
      <c r="J472" t="s">
        <v>78</v>
      </c>
      <c r="K472" s="2"/>
    </row>
    <row r="473" spans="1:11" x14ac:dyDescent="0.3">
      <c r="A473" s="1">
        <v>45110</v>
      </c>
      <c r="B473" t="s">
        <v>11</v>
      </c>
      <c r="C473" t="s">
        <v>16</v>
      </c>
      <c r="D473" t="s">
        <v>32</v>
      </c>
      <c r="E473" t="s">
        <v>54</v>
      </c>
      <c r="F473" t="s">
        <v>69</v>
      </c>
      <c r="G473" s="2">
        <v>10</v>
      </c>
      <c r="H473" s="2">
        <v>35689</v>
      </c>
      <c r="I473" s="2">
        <v>356890</v>
      </c>
      <c r="J473" t="s">
        <v>74</v>
      </c>
      <c r="K473" s="2"/>
    </row>
    <row r="474" spans="1:11" x14ac:dyDescent="0.3">
      <c r="A474" s="1">
        <v>45213</v>
      </c>
      <c r="B474" t="s">
        <v>10</v>
      </c>
      <c r="C474" t="s">
        <v>15</v>
      </c>
      <c r="D474" t="s">
        <v>31</v>
      </c>
      <c r="E474" t="s">
        <v>55</v>
      </c>
      <c r="F474" t="s">
        <v>70</v>
      </c>
      <c r="G474" s="2">
        <v>8</v>
      </c>
      <c r="H474" s="2">
        <v>12420</v>
      </c>
      <c r="I474" s="2">
        <v>99360</v>
      </c>
      <c r="J474" t="s">
        <v>79</v>
      </c>
      <c r="K474" s="2"/>
    </row>
    <row r="475" spans="1:11" x14ac:dyDescent="0.3">
      <c r="A475" s="1">
        <v>45088</v>
      </c>
      <c r="B475" t="s">
        <v>13</v>
      </c>
      <c r="C475" t="s">
        <v>28</v>
      </c>
      <c r="D475" t="s">
        <v>48</v>
      </c>
      <c r="E475" t="s">
        <v>57</v>
      </c>
      <c r="F475" t="s">
        <v>71</v>
      </c>
      <c r="G475" s="2">
        <v>1</v>
      </c>
      <c r="H475" s="2">
        <v>55059</v>
      </c>
      <c r="I475" s="2">
        <v>55059</v>
      </c>
      <c r="J475" t="s">
        <v>77</v>
      </c>
      <c r="K475" s="2"/>
    </row>
    <row r="476" spans="1:11" x14ac:dyDescent="0.3">
      <c r="A476" s="1">
        <v>45098</v>
      </c>
      <c r="B476" t="s">
        <v>12</v>
      </c>
      <c r="C476" t="s">
        <v>18</v>
      </c>
      <c r="D476" t="s">
        <v>34</v>
      </c>
      <c r="E476" t="s">
        <v>66</v>
      </c>
      <c r="F476" t="s">
        <v>70</v>
      </c>
      <c r="G476" s="2">
        <v>7</v>
      </c>
      <c r="H476" s="2">
        <v>22666</v>
      </c>
      <c r="I476" s="2">
        <v>158662</v>
      </c>
      <c r="J476" t="s">
        <v>78</v>
      </c>
      <c r="K476" s="2"/>
    </row>
    <row r="477" spans="1:11" x14ac:dyDescent="0.3">
      <c r="A477" s="1">
        <v>45209</v>
      </c>
      <c r="B477" t="s">
        <v>10</v>
      </c>
      <c r="C477" t="s">
        <v>14</v>
      </c>
      <c r="D477" t="s">
        <v>30</v>
      </c>
      <c r="E477" t="s">
        <v>57</v>
      </c>
      <c r="F477" t="s">
        <v>71</v>
      </c>
      <c r="G477" s="2">
        <v>7</v>
      </c>
      <c r="H477" s="2">
        <v>8931</v>
      </c>
      <c r="I477" s="2">
        <v>62517</v>
      </c>
      <c r="J477" t="s">
        <v>74</v>
      </c>
      <c r="K477" s="2"/>
    </row>
    <row r="478" spans="1:11" x14ac:dyDescent="0.3">
      <c r="A478" s="1">
        <v>45174</v>
      </c>
      <c r="B478" t="s">
        <v>11</v>
      </c>
      <c r="C478" t="s">
        <v>29</v>
      </c>
      <c r="D478" t="s">
        <v>50</v>
      </c>
      <c r="E478" t="s">
        <v>58</v>
      </c>
      <c r="F478" t="s">
        <v>72</v>
      </c>
      <c r="G478" s="2">
        <v>1</v>
      </c>
      <c r="H478" s="2">
        <v>12553</v>
      </c>
      <c r="I478" s="2">
        <v>12553</v>
      </c>
      <c r="J478" t="s">
        <v>75</v>
      </c>
      <c r="K478" s="2"/>
    </row>
    <row r="479" spans="1:11" x14ac:dyDescent="0.3">
      <c r="A479" s="1">
        <v>45086</v>
      </c>
      <c r="B479" t="s">
        <v>10</v>
      </c>
      <c r="C479" t="s">
        <v>27</v>
      </c>
      <c r="D479" t="s">
        <v>47</v>
      </c>
      <c r="E479" t="s">
        <v>64</v>
      </c>
      <c r="F479" t="s">
        <v>69</v>
      </c>
      <c r="G479" s="2">
        <v>6</v>
      </c>
      <c r="H479" s="2">
        <v>11191</v>
      </c>
      <c r="I479" s="2">
        <v>67146</v>
      </c>
      <c r="J479" t="s">
        <v>77</v>
      </c>
      <c r="K479" s="2"/>
    </row>
    <row r="480" spans="1:11" x14ac:dyDescent="0.3">
      <c r="A480" s="1">
        <v>44940</v>
      </c>
      <c r="B480" t="s">
        <v>11</v>
      </c>
      <c r="C480" t="s">
        <v>17</v>
      </c>
      <c r="D480" t="s">
        <v>33</v>
      </c>
      <c r="E480" t="s">
        <v>67</v>
      </c>
      <c r="F480" t="s">
        <v>72</v>
      </c>
      <c r="G480" s="2">
        <v>10</v>
      </c>
      <c r="H480" s="2">
        <v>48078</v>
      </c>
      <c r="I480" s="2">
        <v>480780</v>
      </c>
      <c r="J480" t="s">
        <v>74</v>
      </c>
      <c r="K480" s="2"/>
    </row>
    <row r="481" spans="1:11" x14ac:dyDescent="0.3">
      <c r="A481" s="1">
        <v>45187</v>
      </c>
      <c r="B481" t="s">
        <v>12</v>
      </c>
      <c r="C481" t="s">
        <v>21</v>
      </c>
      <c r="D481" t="s">
        <v>38</v>
      </c>
      <c r="E481" t="s">
        <v>60</v>
      </c>
      <c r="F481" t="s">
        <v>71</v>
      </c>
      <c r="G481" s="2">
        <v>5</v>
      </c>
      <c r="H481" s="2">
        <v>59398</v>
      </c>
      <c r="I481" s="2">
        <v>296990</v>
      </c>
      <c r="J481" t="s">
        <v>79</v>
      </c>
      <c r="K481" s="2"/>
    </row>
    <row r="482" spans="1:11" x14ac:dyDescent="0.3">
      <c r="A482" s="1">
        <v>45034</v>
      </c>
      <c r="B482" t="s">
        <v>11</v>
      </c>
      <c r="C482" t="s">
        <v>29</v>
      </c>
      <c r="D482" t="s">
        <v>50</v>
      </c>
      <c r="E482" t="s">
        <v>56</v>
      </c>
      <c r="F482" t="s">
        <v>70</v>
      </c>
      <c r="G482" s="2">
        <v>2</v>
      </c>
      <c r="H482" s="2">
        <v>57693</v>
      </c>
      <c r="I482" s="2">
        <v>115386</v>
      </c>
      <c r="J482" t="s">
        <v>75</v>
      </c>
      <c r="K482" s="2"/>
    </row>
    <row r="483" spans="1:11" x14ac:dyDescent="0.3">
      <c r="A483" s="1">
        <v>45239</v>
      </c>
      <c r="B483" t="s">
        <v>12</v>
      </c>
      <c r="C483" t="s">
        <v>21</v>
      </c>
      <c r="D483" t="s">
        <v>37</v>
      </c>
      <c r="E483" t="s">
        <v>58</v>
      </c>
      <c r="F483" t="s">
        <v>72</v>
      </c>
      <c r="G483" s="2">
        <v>5</v>
      </c>
      <c r="H483" s="2">
        <v>37712</v>
      </c>
      <c r="I483" s="2">
        <v>188560</v>
      </c>
      <c r="J483" t="s">
        <v>78</v>
      </c>
      <c r="K483" s="2"/>
    </row>
    <row r="484" spans="1:11" x14ac:dyDescent="0.3">
      <c r="A484" s="1">
        <v>45221</v>
      </c>
      <c r="B484" t="s">
        <v>12</v>
      </c>
      <c r="C484" t="s">
        <v>21</v>
      </c>
      <c r="D484" t="s">
        <v>38</v>
      </c>
      <c r="E484" t="s">
        <v>68</v>
      </c>
      <c r="F484" t="s">
        <v>69</v>
      </c>
      <c r="G484" s="2">
        <v>4</v>
      </c>
      <c r="H484" s="2">
        <v>13173</v>
      </c>
      <c r="I484" s="2">
        <v>52692</v>
      </c>
      <c r="J484" t="s">
        <v>74</v>
      </c>
      <c r="K484" s="2"/>
    </row>
    <row r="485" spans="1:11" x14ac:dyDescent="0.3">
      <c r="A485" s="1">
        <v>44952</v>
      </c>
      <c r="B485" t="s">
        <v>10</v>
      </c>
      <c r="C485" t="s">
        <v>15</v>
      </c>
      <c r="D485" t="s">
        <v>39</v>
      </c>
      <c r="E485" t="s">
        <v>63</v>
      </c>
      <c r="F485" t="s">
        <v>72</v>
      </c>
      <c r="G485" s="2">
        <v>1</v>
      </c>
      <c r="H485" s="2">
        <v>1299</v>
      </c>
      <c r="I485" s="2">
        <v>1299</v>
      </c>
      <c r="J485" t="s">
        <v>74</v>
      </c>
      <c r="K485" s="2"/>
    </row>
    <row r="486" spans="1:11" x14ac:dyDescent="0.3">
      <c r="A486" s="1">
        <v>45064</v>
      </c>
      <c r="B486" t="s">
        <v>11</v>
      </c>
      <c r="C486" t="s">
        <v>29</v>
      </c>
      <c r="D486" t="s">
        <v>50</v>
      </c>
      <c r="E486" t="s">
        <v>63</v>
      </c>
      <c r="F486" t="s">
        <v>72</v>
      </c>
      <c r="G486" s="2">
        <v>5</v>
      </c>
      <c r="H486" s="2">
        <v>36326</v>
      </c>
      <c r="I486" s="2">
        <v>181630</v>
      </c>
      <c r="J486" t="s">
        <v>79</v>
      </c>
      <c r="K486" s="2"/>
    </row>
    <row r="487" spans="1:11" x14ac:dyDescent="0.3">
      <c r="A487" s="1">
        <v>45258</v>
      </c>
      <c r="B487" t="s">
        <v>10</v>
      </c>
      <c r="C487" t="s">
        <v>27</v>
      </c>
      <c r="D487" t="s">
        <v>47</v>
      </c>
      <c r="E487" t="s">
        <v>59</v>
      </c>
      <c r="F487" t="s">
        <v>71</v>
      </c>
      <c r="G487" s="2">
        <v>5</v>
      </c>
      <c r="H487" s="2">
        <v>55540</v>
      </c>
      <c r="I487" s="2">
        <v>277700</v>
      </c>
      <c r="J487" t="s">
        <v>78</v>
      </c>
      <c r="K487" s="2"/>
    </row>
    <row r="488" spans="1:11" x14ac:dyDescent="0.3">
      <c r="A488" s="1">
        <v>45009</v>
      </c>
      <c r="B488" t="s">
        <v>12</v>
      </c>
      <c r="C488" t="s">
        <v>21</v>
      </c>
      <c r="D488" t="s">
        <v>38</v>
      </c>
      <c r="E488" t="s">
        <v>55</v>
      </c>
      <c r="F488" t="s">
        <v>70</v>
      </c>
      <c r="G488" s="2">
        <v>9</v>
      </c>
      <c r="H488" s="2">
        <v>55644</v>
      </c>
      <c r="I488" s="2">
        <v>500796</v>
      </c>
      <c r="J488" t="s">
        <v>78</v>
      </c>
      <c r="K488" s="2"/>
    </row>
    <row r="489" spans="1:11" x14ac:dyDescent="0.3">
      <c r="A489" s="1">
        <v>45188</v>
      </c>
      <c r="B489" t="s">
        <v>12</v>
      </c>
      <c r="C489" t="s">
        <v>22</v>
      </c>
      <c r="D489" t="s">
        <v>40</v>
      </c>
      <c r="E489" t="s">
        <v>64</v>
      </c>
      <c r="F489" t="s">
        <v>69</v>
      </c>
      <c r="G489" s="2">
        <v>10</v>
      </c>
      <c r="H489" s="2">
        <v>51029</v>
      </c>
      <c r="I489" s="2">
        <v>510290</v>
      </c>
      <c r="J489" t="s">
        <v>77</v>
      </c>
      <c r="K489" s="2"/>
    </row>
    <row r="490" spans="1:11" x14ac:dyDescent="0.3">
      <c r="A490" s="1">
        <v>44956</v>
      </c>
      <c r="B490" t="s">
        <v>10</v>
      </c>
      <c r="C490" t="s">
        <v>27</v>
      </c>
      <c r="D490" t="s">
        <v>49</v>
      </c>
      <c r="E490" t="s">
        <v>54</v>
      </c>
      <c r="F490" t="s">
        <v>69</v>
      </c>
      <c r="G490" s="2">
        <v>4</v>
      </c>
      <c r="H490" s="2">
        <v>35117</v>
      </c>
      <c r="I490" s="2">
        <v>140468</v>
      </c>
      <c r="J490" t="s">
        <v>73</v>
      </c>
      <c r="K490" s="2"/>
    </row>
    <row r="491" spans="1:11" x14ac:dyDescent="0.3">
      <c r="A491" s="1">
        <v>45074</v>
      </c>
      <c r="B491" t="s">
        <v>13</v>
      </c>
      <c r="C491" t="s">
        <v>19</v>
      </c>
      <c r="D491" t="s">
        <v>35</v>
      </c>
      <c r="E491" t="s">
        <v>60</v>
      </c>
      <c r="F491" t="s">
        <v>71</v>
      </c>
      <c r="G491" s="2">
        <v>4</v>
      </c>
      <c r="H491" s="2">
        <v>51240</v>
      </c>
      <c r="I491" s="2">
        <v>204960</v>
      </c>
      <c r="J491" t="s">
        <v>73</v>
      </c>
      <c r="K491" s="2"/>
    </row>
    <row r="492" spans="1:11" x14ac:dyDescent="0.3">
      <c r="A492" s="1">
        <v>45250</v>
      </c>
      <c r="B492" t="s">
        <v>12</v>
      </c>
      <c r="C492" t="s">
        <v>18</v>
      </c>
      <c r="D492" t="s">
        <v>34</v>
      </c>
      <c r="E492" t="s">
        <v>63</v>
      </c>
      <c r="F492" t="s">
        <v>72</v>
      </c>
      <c r="G492" s="2">
        <v>2</v>
      </c>
      <c r="H492" s="2">
        <v>41747</v>
      </c>
      <c r="I492" s="2">
        <v>83494</v>
      </c>
      <c r="J492" t="s">
        <v>77</v>
      </c>
      <c r="K492" s="2"/>
    </row>
    <row r="493" spans="1:11" x14ac:dyDescent="0.3">
      <c r="A493" s="1">
        <v>45274</v>
      </c>
      <c r="B493" t="s">
        <v>12</v>
      </c>
      <c r="C493" t="s">
        <v>21</v>
      </c>
      <c r="D493" t="s">
        <v>37</v>
      </c>
      <c r="E493" t="s">
        <v>63</v>
      </c>
      <c r="F493" t="s">
        <v>72</v>
      </c>
      <c r="G493" s="2">
        <v>1</v>
      </c>
      <c r="H493" s="2">
        <v>12153</v>
      </c>
      <c r="I493" s="2">
        <v>12153</v>
      </c>
      <c r="J493" t="s">
        <v>73</v>
      </c>
      <c r="K493" s="2"/>
    </row>
    <row r="494" spans="1:11" x14ac:dyDescent="0.3">
      <c r="A494" s="1">
        <v>45191</v>
      </c>
      <c r="B494" t="s">
        <v>13</v>
      </c>
      <c r="C494" t="s">
        <v>20</v>
      </c>
      <c r="D494" t="s">
        <v>36</v>
      </c>
      <c r="E494" t="s">
        <v>67</v>
      </c>
      <c r="F494" t="s">
        <v>72</v>
      </c>
      <c r="G494" s="2">
        <v>8</v>
      </c>
      <c r="H494" s="2">
        <v>45583</v>
      </c>
      <c r="I494" s="2">
        <v>364664</v>
      </c>
      <c r="J494" t="s">
        <v>75</v>
      </c>
      <c r="K494" s="2"/>
    </row>
    <row r="495" spans="1:11" x14ac:dyDescent="0.3">
      <c r="A495" s="1">
        <v>45264</v>
      </c>
      <c r="B495" t="s">
        <v>11</v>
      </c>
      <c r="C495" t="s">
        <v>16</v>
      </c>
      <c r="D495" t="s">
        <v>32</v>
      </c>
      <c r="E495" t="s">
        <v>58</v>
      </c>
      <c r="F495" t="s">
        <v>72</v>
      </c>
      <c r="G495" s="2">
        <v>3</v>
      </c>
      <c r="H495" s="2">
        <v>26248</v>
      </c>
      <c r="I495" s="2">
        <v>78744</v>
      </c>
      <c r="J495" t="s">
        <v>78</v>
      </c>
      <c r="K495" s="2"/>
    </row>
    <row r="496" spans="1:11" x14ac:dyDescent="0.3">
      <c r="A496" s="1">
        <v>45063</v>
      </c>
      <c r="B496" t="s">
        <v>12</v>
      </c>
      <c r="C496" t="s">
        <v>23</v>
      </c>
      <c r="D496" t="s">
        <v>42</v>
      </c>
      <c r="E496" t="s">
        <v>54</v>
      </c>
      <c r="F496" t="s">
        <v>69</v>
      </c>
      <c r="G496" s="2">
        <v>10</v>
      </c>
      <c r="H496" s="2">
        <v>13178</v>
      </c>
      <c r="I496" s="2">
        <v>131780</v>
      </c>
      <c r="J496" t="s">
        <v>74</v>
      </c>
      <c r="K496" s="2"/>
    </row>
    <row r="497" spans="1:11" x14ac:dyDescent="0.3">
      <c r="A497" s="1">
        <v>45184</v>
      </c>
      <c r="B497" t="s">
        <v>10</v>
      </c>
      <c r="C497" t="s">
        <v>27</v>
      </c>
      <c r="D497" t="s">
        <v>47</v>
      </c>
      <c r="E497" t="s">
        <v>68</v>
      </c>
      <c r="F497" t="s">
        <v>69</v>
      </c>
      <c r="G497" s="2">
        <v>1</v>
      </c>
      <c r="H497" s="2">
        <v>6062</v>
      </c>
      <c r="I497" s="2">
        <v>6062</v>
      </c>
      <c r="J497" t="s">
        <v>77</v>
      </c>
      <c r="K497" s="2"/>
    </row>
    <row r="498" spans="1:11" x14ac:dyDescent="0.3">
      <c r="A498" s="1">
        <v>45253</v>
      </c>
      <c r="B498" t="s">
        <v>10</v>
      </c>
      <c r="C498" t="s">
        <v>15</v>
      </c>
      <c r="D498" t="s">
        <v>31</v>
      </c>
      <c r="E498" t="s">
        <v>56</v>
      </c>
      <c r="F498" t="s">
        <v>70</v>
      </c>
      <c r="G498" s="2">
        <v>8</v>
      </c>
      <c r="H498" s="2">
        <v>39214</v>
      </c>
      <c r="I498" s="2">
        <v>313712</v>
      </c>
      <c r="J498" t="s">
        <v>79</v>
      </c>
      <c r="K498" s="2"/>
    </row>
    <row r="499" spans="1:11" x14ac:dyDescent="0.3">
      <c r="A499" s="1">
        <v>45098</v>
      </c>
      <c r="B499" t="s">
        <v>10</v>
      </c>
      <c r="C499" t="s">
        <v>27</v>
      </c>
      <c r="D499" t="s">
        <v>49</v>
      </c>
      <c r="E499" t="s">
        <v>60</v>
      </c>
      <c r="F499" t="s">
        <v>71</v>
      </c>
      <c r="G499" s="2">
        <v>6</v>
      </c>
      <c r="H499" s="2">
        <v>32287</v>
      </c>
      <c r="I499" s="2">
        <v>193722</v>
      </c>
      <c r="J499" t="s">
        <v>78</v>
      </c>
      <c r="K499" s="2"/>
    </row>
    <row r="500" spans="1:11" x14ac:dyDescent="0.3">
      <c r="A500" s="1">
        <v>45250</v>
      </c>
      <c r="B500" t="s">
        <v>12</v>
      </c>
      <c r="C500" t="s">
        <v>18</v>
      </c>
      <c r="D500" t="s">
        <v>43</v>
      </c>
      <c r="E500" t="s">
        <v>61</v>
      </c>
      <c r="F500" t="s">
        <v>69</v>
      </c>
      <c r="G500" s="2">
        <v>1</v>
      </c>
      <c r="H500" s="2">
        <v>12704</v>
      </c>
      <c r="I500" s="2">
        <v>12704</v>
      </c>
      <c r="J500" t="s">
        <v>80</v>
      </c>
      <c r="K500" s="2"/>
    </row>
    <row r="501" spans="1:11" x14ac:dyDescent="0.3">
      <c r="A501" s="1">
        <v>45161</v>
      </c>
      <c r="B501" t="s">
        <v>12</v>
      </c>
      <c r="C501" t="s">
        <v>21</v>
      </c>
      <c r="D501" t="s">
        <v>38</v>
      </c>
      <c r="E501" t="s">
        <v>60</v>
      </c>
      <c r="F501" t="s">
        <v>71</v>
      </c>
      <c r="G501" s="2">
        <v>7</v>
      </c>
      <c r="H501" s="2">
        <v>9749</v>
      </c>
      <c r="I501" s="2">
        <v>68243</v>
      </c>
      <c r="J501" t="s">
        <v>75</v>
      </c>
      <c r="K501" s="2"/>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E475C6-111E-42BA-A262-AF7BF98F0BA3}">
  <dimension ref="A1:X31"/>
  <sheetViews>
    <sheetView showGridLines="0" tabSelected="1" zoomScale="70" zoomScaleNormal="70" workbookViewId="0">
      <selection activeCell="Z32" sqref="Z32"/>
    </sheetView>
  </sheetViews>
  <sheetFormatPr defaultRowHeight="14.4" x14ac:dyDescent="0.3"/>
  <cols>
    <col min="17" max="17" width="21.88671875" customWidth="1"/>
  </cols>
  <sheetData>
    <row r="1" spans="1:24" ht="14.4" customHeight="1" x14ac:dyDescent="0.3">
      <c r="A1" s="22" t="s">
        <v>103</v>
      </c>
      <c r="B1" s="23"/>
      <c r="C1" s="23"/>
      <c r="D1" s="23"/>
      <c r="E1" s="23"/>
      <c r="F1" s="23"/>
      <c r="G1" s="23"/>
      <c r="H1" s="23"/>
      <c r="I1" s="23"/>
      <c r="J1" s="23"/>
      <c r="K1" s="23"/>
      <c r="L1" s="23"/>
      <c r="M1" s="23"/>
      <c r="N1" s="23"/>
      <c r="O1" s="23"/>
      <c r="P1" s="23"/>
      <c r="Q1" s="23"/>
      <c r="R1" s="23"/>
      <c r="S1" s="23"/>
      <c r="T1" s="23"/>
      <c r="U1" s="23"/>
      <c r="V1" s="23"/>
      <c r="W1" s="23"/>
      <c r="X1" s="24"/>
    </row>
    <row r="2" spans="1:24" ht="14.4" customHeight="1" x14ac:dyDescent="0.3">
      <c r="A2" s="25"/>
      <c r="B2" s="26"/>
      <c r="C2" s="26"/>
      <c r="D2" s="26"/>
      <c r="E2" s="26"/>
      <c r="F2" s="26"/>
      <c r="G2" s="26"/>
      <c r="H2" s="26"/>
      <c r="I2" s="26"/>
      <c r="J2" s="26"/>
      <c r="K2" s="26"/>
      <c r="L2" s="26"/>
      <c r="M2" s="26"/>
      <c r="N2" s="26"/>
      <c r="O2" s="26"/>
      <c r="P2" s="26"/>
      <c r="Q2" s="26"/>
      <c r="R2" s="26"/>
      <c r="S2" s="26"/>
      <c r="T2" s="26"/>
      <c r="U2" s="26"/>
      <c r="V2" s="26"/>
      <c r="W2" s="26"/>
      <c r="X2" s="27"/>
    </row>
    <row r="3" spans="1:24" ht="14.4" customHeight="1" x14ac:dyDescent="0.3">
      <c r="A3" s="25"/>
      <c r="B3" s="26"/>
      <c r="C3" s="26"/>
      <c r="D3" s="26"/>
      <c r="E3" s="26"/>
      <c r="F3" s="26"/>
      <c r="G3" s="26"/>
      <c r="H3" s="26"/>
      <c r="I3" s="26"/>
      <c r="J3" s="26"/>
      <c r="K3" s="26"/>
      <c r="L3" s="26"/>
      <c r="M3" s="26"/>
      <c r="N3" s="26"/>
      <c r="O3" s="26"/>
      <c r="P3" s="26"/>
      <c r="Q3" s="26"/>
      <c r="R3" s="26"/>
      <c r="S3" s="26"/>
      <c r="T3" s="26"/>
      <c r="U3" s="26"/>
      <c r="V3" s="26"/>
      <c r="W3" s="26"/>
      <c r="X3" s="27"/>
    </row>
    <row r="4" spans="1:24" ht="14.4" customHeight="1" x14ac:dyDescent="0.3">
      <c r="A4" s="25"/>
      <c r="B4" s="26"/>
      <c r="C4" s="26"/>
      <c r="D4" s="26"/>
      <c r="E4" s="26"/>
      <c r="F4" s="26"/>
      <c r="G4" s="26"/>
      <c r="H4" s="26"/>
      <c r="I4" s="26"/>
      <c r="J4" s="26"/>
      <c r="K4" s="26"/>
      <c r="L4" s="26"/>
      <c r="M4" s="26"/>
      <c r="N4" s="26"/>
      <c r="O4" s="26"/>
      <c r="P4" s="26"/>
      <c r="Q4" s="26"/>
      <c r="R4" s="26"/>
      <c r="S4" s="26"/>
      <c r="T4" s="26"/>
      <c r="U4" s="26"/>
      <c r="V4" s="26"/>
      <c r="W4" s="26"/>
      <c r="X4" s="27"/>
    </row>
    <row r="5" spans="1:24" ht="14.4" customHeight="1" x14ac:dyDescent="0.3">
      <c r="A5" s="25"/>
      <c r="B5" s="26"/>
      <c r="C5" s="26"/>
      <c r="D5" s="26"/>
      <c r="E5" s="26"/>
      <c r="F5" s="26"/>
      <c r="G5" s="26"/>
      <c r="H5" s="26"/>
      <c r="I5" s="26"/>
      <c r="J5" s="26"/>
      <c r="K5" s="26"/>
      <c r="L5" s="26"/>
      <c r="M5" s="26"/>
      <c r="N5" s="26"/>
      <c r="O5" s="26"/>
      <c r="P5" s="26"/>
      <c r="Q5" s="26"/>
      <c r="R5" s="26"/>
      <c r="S5" s="26"/>
      <c r="T5" s="26"/>
      <c r="U5" s="26"/>
      <c r="V5" s="26"/>
      <c r="W5" s="26"/>
      <c r="X5" s="27"/>
    </row>
    <row r="6" spans="1:24" ht="14.4" customHeight="1" x14ac:dyDescent="0.3">
      <c r="A6" s="25"/>
      <c r="B6" s="26"/>
      <c r="C6" s="26"/>
      <c r="D6" s="26"/>
      <c r="E6" s="26"/>
      <c r="F6" s="26"/>
      <c r="G6" s="26"/>
      <c r="H6" s="26"/>
      <c r="I6" s="26"/>
      <c r="J6" s="26"/>
      <c r="K6" s="26"/>
      <c r="L6" s="26"/>
      <c r="M6" s="26"/>
      <c r="N6" s="26"/>
      <c r="O6" s="26"/>
      <c r="P6" s="26"/>
      <c r="Q6" s="26"/>
      <c r="R6" s="26"/>
      <c r="S6" s="26"/>
      <c r="T6" s="26"/>
      <c r="U6" s="26"/>
      <c r="V6" s="26"/>
      <c r="W6" s="26"/>
      <c r="X6" s="27"/>
    </row>
    <row r="7" spans="1:24" ht="14.4" customHeight="1" x14ac:dyDescent="0.3">
      <c r="A7" s="25"/>
      <c r="B7" s="26"/>
      <c r="C7" s="26"/>
      <c r="D7" s="26"/>
      <c r="E7" s="26"/>
      <c r="F7" s="26"/>
      <c r="G7" s="26"/>
      <c r="H7" s="26"/>
      <c r="I7" s="26"/>
      <c r="J7" s="26"/>
      <c r="K7" s="26"/>
      <c r="L7" s="26"/>
      <c r="M7" s="26"/>
      <c r="N7" s="26"/>
      <c r="O7" s="26"/>
      <c r="P7" s="26"/>
      <c r="Q7" s="26"/>
      <c r="R7" s="26"/>
      <c r="S7" s="26"/>
      <c r="T7" s="26"/>
      <c r="U7" s="26"/>
      <c r="V7" s="26"/>
      <c r="W7" s="26"/>
      <c r="X7" s="27"/>
    </row>
    <row r="8" spans="1:24" ht="14.4" customHeight="1" x14ac:dyDescent="0.3">
      <c r="A8" s="25"/>
      <c r="B8" s="26"/>
      <c r="C8" s="26"/>
      <c r="D8" s="26"/>
      <c r="E8" s="26"/>
      <c r="F8" s="26"/>
      <c r="G8" s="26"/>
      <c r="H8" s="26"/>
      <c r="I8" s="26"/>
      <c r="J8" s="26"/>
      <c r="K8" s="26"/>
      <c r="L8" s="26"/>
      <c r="M8" s="26"/>
      <c r="N8" s="26"/>
      <c r="O8" s="26"/>
      <c r="P8" s="26"/>
      <c r="Q8" s="26"/>
      <c r="R8" s="26"/>
      <c r="S8" s="26"/>
      <c r="T8" s="26"/>
      <c r="U8" s="26"/>
      <c r="V8" s="26"/>
      <c r="W8" s="26"/>
      <c r="X8" s="27"/>
    </row>
    <row r="9" spans="1:24" ht="14.4" customHeight="1" x14ac:dyDescent="0.3">
      <c r="A9" s="25"/>
      <c r="B9" s="26"/>
      <c r="C9" s="26"/>
      <c r="D9" s="26"/>
      <c r="E9" s="26"/>
      <c r="F9" s="26"/>
      <c r="G9" s="26"/>
      <c r="H9" s="26"/>
      <c r="I9" s="26"/>
      <c r="J9" s="26"/>
      <c r="K9" s="26"/>
      <c r="L9" s="26"/>
      <c r="M9" s="26"/>
      <c r="N9" s="26"/>
      <c r="O9" s="26"/>
      <c r="P9" s="26"/>
      <c r="Q9" s="26"/>
      <c r="R9" s="26"/>
      <c r="S9" s="26"/>
      <c r="T9" s="26"/>
      <c r="U9" s="26"/>
      <c r="V9" s="26"/>
      <c r="W9" s="26"/>
      <c r="X9" s="27"/>
    </row>
    <row r="10" spans="1:24" ht="14.4" customHeight="1" x14ac:dyDescent="0.3">
      <c r="A10" s="28"/>
      <c r="B10" s="29"/>
      <c r="C10" s="29"/>
      <c r="D10" s="29"/>
      <c r="E10" s="29"/>
      <c r="F10" s="29"/>
      <c r="G10" s="29"/>
      <c r="H10" s="29"/>
      <c r="I10" s="29"/>
      <c r="J10" s="29"/>
      <c r="K10" s="29"/>
      <c r="L10" s="29"/>
      <c r="M10" s="29"/>
      <c r="N10" s="29"/>
      <c r="O10" s="29"/>
      <c r="P10" s="29"/>
      <c r="Q10" s="29"/>
      <c r="R10" s="29"/>
      <c r="S10" s="29"/>
      <c r="T10" s="29"/>
      <c r="U10" s="29"/>
      <c r="V10" s="29"/>
      <c r="W10" s="29"/>
      <c r="X10" s="30"/>
    </row>
    <row r="27" spans="17:17" ht="15.6" x14ac:dyDescent="0.3">
      <c r="Q27" s="21" t="s">
        <v>104</v>
      </c>
    </row>
    <row r="28" spans="17:17" ht="15.6" x14ac:dyDescent="0.3">
      <c r="Q28" s="21" t="s">
        <v>105</v>
      </c>
    </row>
    <row r="29" spans="17:17" ht="15.6" x14ac:dyDescent="0.3">
      <c r="Q29" s="21" t="s">
        <v>106</v>
      </c>
    </row>
    <row r="30" spans="17:17" ht="15.6" x14ac:dyDescent="0.3">
      <c r="Q30" s="21" t="s">
        <v>107</v>
      </c>
    </row>
    <row r="31" spans="17:17" ht="15.6" x14ac:dyDescent="0.3">
      <c r="Q31" s="21" t="s">
        <v>108</v>
      </c>
    </row>
  </sheetData>
  <mergeCells count="1">
    <mergeCell ref="A1:X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vt:lpstr>
      <vt:lpstr>Sales</vt:lpstr>
      <vt:lpstr>Sales Performance 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Pankaj Kumar</dc:creator>
  <cp:lastModifiedBy>Pankaj Kumar6</cp:lastModifiedBy>
  <dcterms:created xsi:type="dcterms:W3CDTF">2025-11-02T13:19:12Z</dcterms:created>
  <dcterms:modified xsi:type="dcterms:W3CDTF">2025-11-02T14:14:47Z</dcterms:modified>
</cp:coreProperties>
</file>